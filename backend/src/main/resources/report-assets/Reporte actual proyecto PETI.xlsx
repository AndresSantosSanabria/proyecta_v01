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https://cundinamarcatic-my.sharepoint.com/personal/luis_montenegro_cundinamarca_gov_co/Documents/2025 TIC/PROYECTOS TI/PETI/PETI 01/EXCEL/"/>
    </mc:Choice>
  </mc:AlternateContent>
  <xr:revisionPtr revIDLastSave="0" documentId="8_{988E038D-5AFB-4652-BDA0-857AFB016D2C}" xr6:coauthVersionLast="47" xr6:coauthVersionMax="47" xr10:uidLastSave="{00000000-0000-0000-0000-000000000000}"/>
  <bookViews>
    <workbookView xWindow="-120" yWindow="-120" windowWidth="29040" windowHeight="15840" firstSheet="1" activeTab="1" xr2:uid="{00000000-000D-0000-FFFF-FFFF00000000}"/>
  </bookViews>
  <sheets>
    <sheet name="DATOS" sheetId="1" r:id="rId1"/>
    <sheet name="AVANCE" sheetId="2" r:id="rId2"/>
    <sheet name="Inform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K16" i="2"/>
  <c r="K15" i="2"/>
  <c r="K14" i="2"/>
  <c r="K18" i="2"/>
  <c r="K13" i="2"/>
  <c r="Y34" i="2"/>
  <c r="K6" i="2"/>
  <c r="K7" i="2"/>
  <c r="K8" i="2"/>
  <c r="K9" i="2"/>
  <c r="K10" i="2"/>
  <c r="K11" i="2"/>
  <c r="K12" i="2"/>
  <c r="K17" i="2"/>
  <c r="K19" i="2"/>
  <c r="K20" i="2"/>
  <c r="K21" i="2"/>
  <c r="K22" i="2"/>
  <c r="K23" i="2"/>
  <c r="K24" i="2"/>
  <c r="K5" i="2"/>
  <c r="O5" i="2"/>
  <c r="O14" i="2"/>
  <c r="O12" i="2"/>
  <c r="O19" i="2"/>
  <c r="E26" i="3" s="1"/>
  <c r="O18" i="2"/>
  <c r="E25" i="3" s="1"/>
  <c r="O7" i="2"/>
  <c r="E14" i="3" s="1"/>
  <c r="O8" i="2"/>
  <c r="E15" i="3" s="1"/>
  <c r="O9" i="2"/>
  <c r="E16" i="3" s="1"/>
  <c r="O10" i="2"/>
  <c r="E17" i="3" s="1"/>
  <c r="O11" i="2"/>
  <c r="E18" i="3" s="1"/>
  <c r="E19" i="3"/>
  <c r="O13" i="2"/>
  <c r="E21" i="3"/>
  <c r="O15" i="2"/>
  <c r="E22" i="3" s="1"/>
  <c r="O16" i="2"/>
  <c r="E23" i="3" s="1"/>
  <c r="O17" i="2"/>
  <c r="E24" i="3" s="1"/>
  <c r="O20" i="2"/>
  <c r="E27" i="3" s="1"/>
  <c r="O21" i="2"/>
  <c r="E28" i="3" s="1"/>
  <c r="O22" i="2"/>
  <c r="E29" i="3" s="1"/>
  <c r="O23" i="2"/>
  <c r="E30" i="3" s="1"/>
  <c r="O24" i="2"/>
  <c r="E31" i="3" s="1"/>
  <c r="R5" i="2"/>
  <c r="Y28" i="2" s="1"/>
  <c r="Y31" i="2" s="1" a="1"/>
  <c r="Y31" i="2" s="1"/>
  <c r="R16" i="2"/>
  <c r="R17" i="2"/>
  <c r="R18" i="2"/>
  <c r="R19" i="2"/>
  <c r="R20" i="2"/>
  <c r="R21" i="2"/>
  <c r="R22" i="2"/>
  <c r="R23" i="2"/>
  <c r="R24" i="2"/>
  <c r="R15" i="2"/>
  <c r="X15" i="2" s="1"/>
  <c r="R14" i="2"/>
  <c r="R13" i="2"/>
  <c r="X13" i="2" s="1"/>
  <c r="R12" i="2"/>
  <c r="X12" i="2" s="1"/>
  <c r="R11" i="2"/>
  <c r="X11" i="2" s="1"/>
  <c r="R10" i="2"/>
  <c r="X10" i="2" s="1"/>
  <c r="R9" i="2"/>
  <c r="X9" i="2" s="1"/>
  <c r="R8" i="2"/>
  <c r="X8" i="2" s="1"/>
  <c r="R7" i="2"/>
  <c r="R6" i="2"/>
  <c r="E12" i="3"/>
  <c r="O6" i="2"/>
  <c r="E13" i="3" s="1"/>
  <c r="Y29" i="2" l="1"/>
  <c r="Y30" i="2"/>
  <c r="P5" i="2"/>
  <c r="Y33" i="2"/>
  <c r="S6" i="2"/>
  <c r="X6" i="2"/>
  <c r="S7" i="2"/>
  <c r="T7" i="2" s="1"/>
  <c r="X7" i="2"/>
  <c r="Z8" i="2"/>
  <c r="Y8" i="2"/>
  <c r="Z9" i="2"/>
  <c r="Y9" i="2"/>
  <c r="Z10" i="2"/>
  <c r="Y10" i="2"/>
  <c r="Z11" i="2"/>
  <c r="Y11" i="2"/>
  <c r="Z12" i="2"/>
  <c r="Y12" i="2"/>
  <c r="Z13" i="2"/>
  <c r="Y13" i="2"/>
  <c r="S14" i="2"/>
  <c r="T14" i="2" s="1"/>
  <c r="X14" i="2"/>
  <c r="Z15" i="2"/>
  <c r="Y15" i="2"/>
  <c r="S24" i="2"/>
  <c r="X24" i="2"/>
  <c r="S23" i="2"/>
  <c r="X23" i="2"/>
  <c r="S22" i="2"/>
  <c r="X22" i="2"/>
  <c r="S21" i="2"/>
  <c r="X21" i="2"/>
  <c r="S20" i="2"/>
  <c r="X20" i="2"/>
  <c r="S19" i="2"/>
  <c r="X19" i="2"/>
  <c r="S18" i="2"/>
  <c r="X18" i="2"/>
  <c r="S17" i="2"/>
  <c r="X17" i="2"/>
  <c r="S16" i="2"/>
  <c r="X16" i="2"/>
  <c r="S5" i="2"/>
  <c r="T5" i="2" s="1"/>
  <c r="X5" i="2"/>
  <c r="E20" i="3"/>
  <c r="Q5" i="2"/>
  <c r="S8" i="2"/>
  <c r="S9" i="2"/>
  <c r="S10" i="2"/>
  <c r="S11" i="2"/>
  <c r="T11" i="2" s="1"/>
  <c r="S12" i="2"/>
  <c r="T12" i="2" s="1"/>
  <c r="S13" i="2"/>
  <c r="S15" i="2"/>
  <c r="E10" i="3"/>
  <c r="T15" i="2" l="1"/>
  <c r="U15" i="2" s="1"/>
  <c r="T13" i="2"/>
  <c r="U13" i="2" s="1"/>
  <c r="T10" i="2"/>
  <c r="U10" i="2" s="1"/>
  <c r="T9" i="2"/>
  <c r="U9" i="2" s="1"/>
  <c r="T8" i="2"/>
  <c r="U8" i="2" s="1"/>
  <c r="T16" i="2"/>
  <c r="U16" i="2" s="1"/>
  <c r="D23" i="3" s="1"/>
  <c r="F23" i="3" s="1"/>
  <c r="G23" i="3" s="1"/>
  <c r="T17" i="2"/>
  <c r="U17" i="2" s="1"/>
  <c r="D24" i="3" s="1"/>
  <c r="F24" i="3" s="1"/>
  <c r="G24" i="3" s="1"/>
  <c r="T18" i="2"/>
  <c r="U18" i="2" s="1"/>
  <c r="D25" i="3" s="1"/>
  <c r="F25" i="3" s="1"/>
  <c r="G25" i="3" s="1"/>
  <c r="T19" i="2"/>
  <c r="U19" i="2" s="1"/>
  <c r="D26" i="3" s="1"/>
  <c r="F26" i="3" s="1"/>
  <c r="G26" i="3" s="1"/>
  <c r="T20" i="2"/>
  <c r="U20" i="2" s="1"/>
  <c r="D27" i="3" s="1"/>
  <c r="F27" i="3" s="1"/>
  <c r="G27" i="3" s="1"/>
  <c r="T21" i="2"/>
  <c r="U21" i="2" s="1"/>
  <c r="D28" i="3" s="1"/>
  <c r="F28" i="3" s="1"/>
  <c r="G28" i="3" s="1"/>
  <c r="T22" i="2"/>
  <c r="U22" i="2" s="1"/>
  <c r="D29" i="3" s="1"/>
  <c r="F29" i="3" s="1"/>
  <c r="G29" i="3" s="1"/>
  <c r="T23" i="2"/>
  <c r="U23" i="2" s="1"/>
  <c r="D30" i="3" s="1"/>
  <c r="F30" i="3" s="1"/>
  <c r="G30" i="3" s="1"/>
  <c r="T24" i="2"/>
  <c r="U24" i="2" s="1"/>
  <c r="D31" i="3" s="1"/>
  <c r="F31" i="3" s="1"/>
  <c r="G31" i="3" s="1"/>
  <c r="T6" i="2"/>
  <c r="U6" i="2" s="1"/>
  <c r="U5" i="2"/>
  <c r="Y32" i="2"/>
  <c r="Z5" i="2"/>
  <c r="Y5" i="2"/>
  <c r="Z16" i="2"/>
  <c r="Y16" i="2"/>
  <c r="Z17" i="2"/>
  <c r="Y17" i="2"/>
  <c r="Z18" i="2"/>
  <c r="Y18" i="2"/>
  <c r="Z19" i="2"/>
  <c r="Y19" i="2"/>
  <c r="Z20" i="2"/>
  <c r="Y20" i="2"/>
  <c r="Z21" i="2"/>
  <c r="Y21" i="2"/>
  <c r="Z22" i="2"/>
  <c r="Y22" i="2"/>
  <c r="Z23" i="2"/>
  <c r="Y23" i="2"/>
  <c r="Z24" i="2"/>
  <c r="Y24" i="2"/>
  <c r="Z14" i="2"/>
  <c r="Y14" i="2"/>
  <c r="Z7" i="2"/>
  <c r="Y7" i="2"/>
  <c r="Z6" i="2"/>
  <c r="Y6" i="2"/>
  <c r="U12" i="2"/>
  <c r="D19" i="3" s="1"/>
  <c r="F19" i="3" s="1"/>
  <c r="G19" i="3" s="1"/>
  <c r="U14" i="2"/>
  <c r="D21" i="3" s="1"/>
  <c r="U11" i="2"/>
  <c r="D18" i="3" s="1"/>
  <c r="F18" i="3" s="1"/>
  <c r="G18" i="3" s="1"/>
  <c r="D13" i="3"/>
  <c r="F13" i="3" s="1"/>
  <c r="G13" i="3" s="1"/>
  <c r="U7" i="2"/>
  <c r="D14" i="3" s="1"/>
  <c r="F14" i="3" s="1"/>
  <c r="G14" i="3" s="1"/>
  <c r="D17" i="3"/>
  <c r="F17" i="3" s="1"/>
  <c r="G17" i="3" s="1"/>
  <c r="D20" i="3"/>
  <c r="F20" i="3" s="1"/>
  <c r="G20" i="3" s="1"/>
  <c r="D12" i="3"/>
  <c r="F12" i="3" s="1"/>
  <c r="G12" i="3" s="1"/>
  <c r="D22" i="3"/>
  <c r="F22" i="3" s="1"/>
  <c r="G22" i="3" s="1"/>
  <c r="D15" i="3"/>
  <c r="F15" i="3" s="1"/>
  <c r="G15" i="3" s="1"/>
  <c r="D16" i="3"/>
  <c r="F16" i="3" s="1"/>
  <c r="G16" i="3" s="1"/>
  <c r="E8" i="3"/>
  <c r="V5" i="2" l="1"/>
  <c r="W5" i="2" s="1"/>
  <c r="D8" i="3" s="1"/>
  <c r="F8" i="3" s="1"/>
  <c r="G8" i="3" s="1"/>
  <c r="Z25" i="2"/>
  <c r="Y25" i="2"/>
  <c r="F21" i="3"/>
  <c r="G21" i="3" s="1"/>
  <c r="D10" i="3" l="1"/>
  <c r="F10" i="3" s="1"/>
  <c r="G1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<sst xmlns="http://schemas.openxmlformats.org/spreadsheetml/2006/main" count="220" uniqueCount="159">
  <si>
    <t>CODIGO PROYECTO</t>
  </si>
  <si>
    <t>P01</t>
  </si>
  <si>
    <t>NOMBRE DEL PROYECTO</t>
  </si>
  <si>
    <t>Fortalecimiento del Talento TI en el departamento de Cundinamarca.</t>
  </si>
  <si>
    <t>META</t>
  </si>
  <si>
    <t>Capacitar 30.000 personas en Inteligencia Artificial - IA, Block-chain y habilidades digitales, así como el uso de nuevas tecnologías.</t>
  </si>
  <si>
    <t>PATROCINADOR DEL PROYECTO</t>
  </si>
  <si>
    <t>Hjalmar Arturo Melo Román</t>
  </si>
  <si>
    <t>PATROCINADOR DEL PROYECTO EMAIL</t>
  </si>
  <si>
    <t>arturo.melo@cundinamarca.gov.co</t>
  </si>
  <si>
    <t>DEPENDENCIA</t>
  </si>
  <si>
    <t>Secretaría de Transformación Digital</t>
  </si>
  <si>
    <t>DIRECTOR DE PROYECTO</t>
  </si>
  <si>
    <t>Elsy Elena Martinez Bustamante</t>
  </si>
  <si>
    <t>DIRECTOR DE PROYECTO EMAIL</t>
  </si>
  <si>
    <t>elsy.martinez@cundinamarca.gov.co</t>
  </si>
  <si>
    <t>OBJETIVO GENERAL (META)</t>
  </si>
  <si>
    <t>Mejorar el conocimiento, uso y apropiación efectiva de las TIC, para potenciar las habilidades digitales de los ciudadanos cundinamarqueses. </t>
  </si>
  <si>
    <t>OBJETIVOS ESPECIFICOS</t>
  </si>
  <si>
    <t>Desarrollar procesos de formación de calidad en temas TIC para mejorar las habilidades digitales de los ciudadanos del departamento.</t>
  </si>
  <si>
    <t>FECHA INICIO DE PROYECTO</t>
  </si>
  <si>
    <t>FECHA FIN DE PROYECTO</t>
  </si>
  <si>
    <t xml:space="preserve">PRESUPUESTO ESTIMADO DEL PROYECTO </t>
  </si>
  <si>
    <t>$1.726.506.951</t>
  </si>
  <si>
    <t>ES PROYECTO PETI?</t>
  </si>
  <si>
    <t>SI</t>
  </si>
  <si>
    <t>ESTRATEGIA PETI A LA QUE PERTENECE</t>
  </si>
  <si>
    <t>Ciudades y territorios inteligentes</t>
  </si>
  <si>
    <t>ES PROYECTO DE TRANSFORMACIÓN DIGITAL?</t>
  </si>
  <si>
    <t>P01 Fortalecimiento TI</t>
  </si>
  <si>
    <t>FASE</t>
  </si>
  <si>
    <t>HITO</t>
  </si>
  <si>
    <t>Entregable</t>
  </si>
  <si>
    <t>ENTREGA</t>
  </si>
  <si>
    <t xml:space="preserve">COMENTARIOS </t>
  </si>
  <si>
    <t>EJECUTADO</t>
  </si>
  <si>
    <t xml:space="preserve">ATRASO </t>
  </si>
  <si>
    <t>PROG HOY</t>
  </si>
  <si>
    <t>EyE</t>
  </si>
  <si>
    <t>Eficacia</t>
  </si>
  <si>
    <t>Eficiencia</t>
  </si>
  <si>
    <t>FASES</t>
  </si>
  <si>
    <t>POND</t>
  </si>
  <si>
    <t>HITOS</t>
  </si>
  <si>
    <t>Pond</t>
  </si>
  <si>
    <t>ENTREGABLES</t>
  </si>
  <si>
    <t xml:space="preserve">NOMBRE </t>
  </si>
  <si>
    <t>FECHA LIM</t>
  </si>
  <si>
    <t>FECHA ENTREGA</t>
  </si>
  <si>
    <t>OK</t>
  </si>
  <si>
    <t>RUTA EVIDENCIAS</t>
  </si>
  <si>
    <t xml:space="preserve"> EVIDENCIAS</t>
  </si>
  <si>
    <t xml:space="preserve"> HITO</t>
  </si>
  <si>
    <t xml:space="preserve"> PYTO</t>
  </si>
  <si>
    <t>HOY</t>
  </si>
  <si>
    <t xml:space="preserve"> PROG</t>
  </si>
  <si>
    <t>VALIDA</t>
  </si>
  <si>
    <t>HITO PROG</t>
  </si>
  <si>
    <t>FASE PROG</t>
  </si>
  <si>
    <t>PYTO PROG</t>
  </si>
  <si>
    <t>Incluye?</t>
  </si>
  <si>
    <t>Calcula</t>
  </si>
  <si>
    <t>FASE 1</t>
  </si>
  <si>
    <t>HITO 01</t>
  </si>
  <si>
    <t>ENTREGABLE 1</t>
  </si>
  <si>
    <t xml:space="preserve"> E01. Informe diagnóstico</t>
  </si>
  <si>
    <t>ENTREGABLE 01</t>
  </si>
  <si>
    <t>HITO 02</t>
  </si>
  <si>
    <t>ENTREGABLE 2</t>
  </si>
  <si>
    <t>E02. Documento metodológico</t>
  </si>
  <si>
    <t>ENTREGABLE 02</t>
  </si>
  <si>
    <t>HITO 03</t>
  </si>
  <si>
    <t>ENTREGABLE 3</t>
  </si>
  <si>
    <t>E03. Malla curricular</t>
  </si>
  <si>
    <t>ENTREGABLE 03</t>
  </si>
  <si>
    <t>HITO 04</t>
  </si>
  <si>
    <t>ENTREGABLE 4</t>
  </si>
  <si>
    <t>E.04 Guía de aprendizaje</t>
  </si>
  <si>
    <t>ENTREGABLE 04</t>
  </si>
  <si>
    <t>HITO 05</t>
  </si>
  <si>
    <t>ENTREGABLE 5</t>
  </si>
  <si>
    <t>E.05 Propuestas para 2024</t>
  </si>
  <si>
    <t>ENTREGABLE 05</t>
  </si>
  <si>
    <t>HITO 06</t>
  </si>
  <si>
    <t>ENTREGABLE 6</t>
  </si>
  <si>
    <t>E.06 Reporte de personas formadas 2024</t>
  </si>
  <si>
    <t>ENTREGABLE 06</t>
  </si>
  <si>
    <t>HITO 07</t>
  </si>
  <si>
    <t>ENTREGABLE 7</t>
  </si>
  <si>
    <t>E.07 Contratos o convenios 2024</t>
  </si>
  <si>
    <t>ENTREGABLE 07</t>
  </si>
  <si>
    <t>HITO 08</t>
  </si>
  <si>
    <t>ENTREGABLE 8</t>
  </si>
  <si>
    <t>E.08 Contenidos multimedia 2024</t>
  </si>
  <si>
    <t>ENTREGABLE 08</t>
  </si>
  <si>
    <t>HITO 09</t>
  </si>
  <si>
    <t>ENTREGABLE 9</t>
  </si>
  <si>
    <t>E09. Propuestas para 2025</t>
  </si>
  <si>
    <t>ENTREGABLE 09</t>
  </si>
  <si>
    <t>HITO 10</t>
  </si>
  <si>
    <t>ENTREGABLE 10</t>
  </si>
  <si>
    <t>E10. Reporte de personas formadas 2025</t>
  </si>
  <si>
    <t>HITO 11</t>
  </si>
  <si>
    <t>ENTREGABLE 11</t>
  </si>
  <si>
    <t>E11. Contratos o convenios 2025</t>
  </si>
  <si>
    <t>HITO 12</t>
  </si>
  <si>
    <t>ENTREGABLE 12</t>
  </si>
  <si>
    <t>E12. Contenidos multimedia 2025</t>
  </si>
  <si>
    <t>HITO 13</t>
  </si>
  <si>
    <t>ENTREGABLE 13</t>
  </si>
  <si>
    <t>E13. Propuestas para 2026</t>
  </si>
  <si>
    <t>HITO 14</t>
  </si>
  <si>
    <t>ENTREGABLE 14</t>
  </si>
  <si>
    <t>E14. Reporte de personas formadas 2026</t>
  </si>
  <si>
    <t>HITO 15</t>
  </si>
  <si>
    <t>ENTREGABLE 15</t>
  </si>
  <si>
    <t>E15. Contratos o convenios 2026</t>
  </si>
  <si>
    <t>HITO 16</t>
  </si>
  <si>
    <t>ENTREGABLE 16</t>
  </si>
  <si>
    <t>E16. Contenidos multimedia 2026</t>
  </si>
  <si>
    <t>HITO 17</t>
  </si>
  <si>
    <t>ENTREGABLE 17</t>
  </si>
  <si>
    <t>E17. Propuestas para 2027</t>
  </si>
  <si>
    <t>HITO 18</t>
  </si>
  <si>
    <t>ENTREGABLE 18</t>
  </si>
  <si>
    <t>E18. Reporte de personas formadas 2027</t>
  </si>
  <si>
    <t>HITO 19</t>
  </si>
  <si>
    <t>ENTREGABLE 19</t>
  </si>
  <si>
    <t>E19. Contratos o convenios 2027</t>
  </si>
  <si>
    <t>HITO 20</t>
  </si>
  <si>
    <t>ENTREGABLE 20</t>
  </si>
  <si>
    <t>E20. Contenidos multimedia 2027</t>
  </si>
  <si>
    <t>INDICADORES AL CORTE</t>
  </si>
  <si>
    <t>Fecha de corte</t>
  </si>
  <si>
    <t>Base del cálculo</t>
  </si>
  <si>
    <t>Programados al corte</t>
  </si>
  <si>
    <t>Entregables con fecha límite menor o igual a la fecha de corte</t>
  </si>
  <si>
    <t>Entregados al corte</t>
  </si>
  <si>
    <t>Programados al corte con OK = 1</t>
  </si>
  <si>
    <t>Entregados a tiempo</t>
  </si>
  <si>
    <t>Entregados al corte con fecha de entrega menor o igual a la fecha límite</t>
  </si>
  <si>
    <t>Entregados al corte / Programados al corte</t>
  </si>
  <si>
    <t>Entregados a tiempo / Entregados al corte</t>
  </si>
  <si>
    <t>total entregables</t>
  </si>
  <si>
    <t>AVANCES DEL PROYECTO P01</t>
  </si>
  <si>
    <t>PROG</t>
  </si>
  <si>
    <t>EJEC</t>
  </si>
  <si>
    <t>DIFERENCIA</t>
  </si>
  <si>
    <t>ESTADO</t>
  </si>
  <si>
    <t>PROYECTO</t>
  </si>
  <si>
    <t>HITO 1</t>
  </si>
  <si>
    <t>HITO 2</t>
  </si>
  <si>
    <t>HITO 3</t>
  </si>
  <si>
    <t>HITO 4</t>
  </si>
  <si>
    <t>HITO 5</t>
  </si>
  <si>
    <t>HITO 6</t>
  </si>
  <si>
    <t>HITO 7</t>
  </si>
  <si>
    <t>HITO 8</t>
  </si>
  <si>
    <t>HITO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</si>
</sst>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&quot;$&quot;\ * #,##0.00_-;\-&quot;$&quot;\ * #,##0.00_-;_-&quot;$&quot;\ * &quot;-&quot;??_-;_-@_-"/>
    <numFmt numFmtId="165" formatCode="0.0%"/>
    <numFmt numFmtId="166" formatCode="0.0"/>
    <numFmt numFmtId="167" formatCode="_([$$-409]* #,##0.00_);_([$$-409]* \(#,##0.00\);_([$$-409]* &quot;-&quot;??_);_(@_)"/>
    <numFmt numFmtId="168" formatCode="yyyy\-mm\-dd"/>
  </numFmts>
  <fonts count="18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scheme val="minor"/>
    </font>
    <font>
      <u/>
      <sz val="11"/>
      <color theme="10"/>
      <name val="Calibri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Century Gothic"/>
      <family val="2"/>
    </font>
    <font>
      <b/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BA7D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7" fillId="0" borderId="1" xfId="0" applyFont="1" applyBorder="1"/>
    <xf numFmtId="0" fontId="0" fillId="0" borderId="5" xfId="0" applyBorder="1"/>
    <xf numFmtId="0" fontId="7" fillId="11" borderId="0" xfId="0" applyFont="1" applyFill="1"/>
    <xf numFmtId="0" fontId="7" fillId="16" borderId="0" xfId="0" applyFont="1" applyFill="1"/>
    <xf numFmtId="0" fontId="0" fillId="0" borderId="10" xfId="0" applyBorder="1"/>
    <xf numFmtId="0" fontId="7" fillId="10" borderId="5" xfId="0" applyFont="1" applyFill="1" applyBorder="1"/>
    <xf numFmtId="0" fontId="7" fillId="16" borderId="9" xfId="0" applyFont="1" applyFill="1" applyBorder="1"/>
    <xf numFmtId="0" fontId="7" fillId="16" borderId="5" xfId="0" applyFont="1" applyFill="1" applyBorder="1"/>
    <xf numFmtId="165" fontId="4" fillId="7" borderId="5" xfId="0" applyNumberFormat="1" applyFont="1" applyFill="1" applyBorder="1" applyAlignment="1">
      <alignment horizontal="left" vertical="center"/>
    </xf>
    <xf numFmtId="165" fontId="0" fillId="0" borderId="9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165" fontId="4" fillId="16" borderId="5" xfId="0" applyNumberFormat="1" applyFont="1" applyFill="1" applyBorder="1" applyAlignment="1">
      <alignment horizontal="left" vertical="center"/>
    </xf>
    <xf numFmtId="165" fontId="0" fillId="0" borderId="9" xfId="0" applyNumberFormat="1" applyBorder="1"/>
    <xf numFmtId="165" fontId="0" fillId="2" borderId="5" xfId="0" applyNumberFormat="1" applyFill="1" applyBorder="1" applyAlignment="1">
      <alignment horizontal="left" vertical="center"/>
    </xf>
    <xf numFmtId="9" fontId="0" fillId="0" borderId="9" xfId="0" applyNumberFormat="1" applyBorder="1"/>
    <xf numFmtId="9" fontId="0" fillId="0" borderId="5" xfId="0" applyNumberFormat="1" applyBorder="1"/>
    <xf numFmtId="0" fontId="0" fillId="6" borderId="3" xfId="0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165" fontId="0" fillId="16" borderId="5" xfId="0" applyNumberFormat="1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9" fontId="0" fillId="0" borderId="5" xfId="0" applyNumberFormat="1" applyBorder="1" applyAlignment="1">
      <alignment vertical="center"/>
    </xf>
    <xf numFmtId="1" fontId="0" fillId="0" borderId="1" xfId="0" applyNumberFormat="1" applyBorder="1"/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0" fillId="0" borderId="2" xfId="0" applyBorder="1"/>
    <xf numFmtId="0" fontId="10" fillId="0" borderId="1" xfId="0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7" fontId="10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5" fillId="0" borderId="0" xfId="3" applyAlignment="1">
      <alignment horizontal="center" vertical="center"/>
    </xf>
    <xf numFmtId="0" fontId="7" fillId="18" borderId="5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15" borderId="21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5" borderId="13" xfId="0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0" fontId="8" fillId="15" borderId="10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9" fontId="7" fillId="2" borderId="3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9" fontId="7" fillId="16" borderId="2" xfId="0" applyNumberFormat="1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 wrapText="1"/>
    </xf>
    <xf numFmtId="15" fontId="7" fillId="17" borderId="15" xfId="0" applyNumberFormat="1" applyFont="1" applyFill="1" applyBorder="1" applyAlignment="1">
      <alignment horizontal="center" vertical="center"/>
    </xf>
    <xf numFmtId="14" fontId="7" fillId="0" borderId="15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6" fontId="7" fillId="0" borderId="2" xfId="0" applyNumberFormat="1" applyFont="1" applyBorder="1" applyAlignment="1">
      <alignment horizontal="center" vertical="center"/>
    </xf>
    <xf numFmtId="0" fontId="14" fillId="0" borderId="5" xfId="3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9" fontId="7" fillId="3" borderId="3" xfId="0" applyNumberFormat="1" applyFont="1" applyFill="1" applyBorder="1" applyAlignment="1">
      <alignment horizontal="center" vertical="center"/>
    </xf>
    <xf numFmtId="165" fontId="12" fillId="7" borderId="3" xfId="0" applyNumberFormat="1" applyFont="1" applyFill="1" applyBorder="1" applyAlignment="1">
      <alignment horizontal="center" vertical="center"/>
    </xf>
    <xf numFmtId="15" fontId="7" fillId="0" borderId="2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5" fontId="7" fillId="2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165" fontId="7" fillId="5" borderId="3" xfId="0" applyNumberFormat="1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164" fontId="7" fillId="16" borderId="1" xfId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15" fontId="15" fillId="17" borderId="15" xfId="0" applyNumberFormat="1" applyFont="1" applyFill="1" applyBorder="1" applyAlignment="1">
      <alignment horizontal="center" vertical="center"/>
    </xf>
    <xf numFmtId="14" fontId="15" fillId="0" borderId="15" xfId="0" applyNumberFormat="1" applyFont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15" fontId="7" fillId="0" borderId="4" xfId="0" applyNumberFormat="1" applyFont="1" applyBorder="1" applyAlignment="1">
      <alignment horizontal="center" vertical="center"/>
    </xf>
    <xf numFmtId="0" fontId="7" fillId="14" borderId="10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9" fontId="7" fillId="9" borderId="3" xfId="0" applyNumberFormat="1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9" fontId="7" fillId="16" borderId="17" xfId="0" applyNumberFormat="1" applyFont="1" applyFill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12" borderId="10" xfId="0" applyFont="1" applyFill="1" applyBorder="1" applyAlignment="1">
      <alignment horizontal="center" vertical="center"/>
    </xf>
    <xf numFmtId="15" fontId="7" fillId="0" borderId="19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9" fontId="7" fillId="2" borderId="1" xfId="0" applyNumberFormat="1" applyFont="1" applyFill="1" applyBorder="1" applyAlignment="1">
      <alignment horizontal="center" vertical="center"/>
    </xf>
    <xf numFmtId="9" fontId="7" fillId="16" borderId="1" xfId="0" applyNumberFormat="1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/>
    </xf>
    <xf numFmtId="0" fontId="3" fillId="20" borderId="2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19" borderId="23" xfId="4" applyNumberFormat="1" applyFont="1" applyFill="1" applyBorder="1" applyAlignment="1">
      <alignment horizontal="center"/>
    </xf>
    <xf numFmtId="0" fontId="17" fillId="0" borderId="1" xfId="0" applyFont="1" applyBorder="1" applyAlignment="1">
      <alignment horizontal="center" vertical="center" wrapText="1"/>
    </xf>
    <xf numFmtId="168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10" fontId="7" fillId="21" borderId="1" xfId="0" applyNumberFormat="1" applyFont="1" applyFill="1" applyBorder="1" applyAlignment="1">
      <alignment horizontal="center" vertical="center" wrapText="1"/>
    </xf>
    <xf numFmtId="0" fontId="0" fillId="21" borderId="1" xfId="0" applyFill="1" applyBorder="1" applyAlignment="1">
      <alignment horizontal="center" vertical="center" wrapText="1"/>
    </xf>
    <xf numFmtId="10" fontId="0" fillId="19" borderId="24" xfId="4" applyNumberFormat="1" applyFont="1" applyFill="1" applyBorder="1" applyAlignment="1">
      <alignment horizontal="center"/>
    </xf>
    <xf numFmtId="0" fontId="7" fillId="21" borderId="1" xfId="0" applyFont="1" applyFill="1" applyBorder="1" applyAlignment="1">
      <alignment horizontal="center" vertical="center" wrapText="1"/>
    </xf>
    <xf numFmtId="15" fontId="15" fillId="16" borderId="1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9" fontId="7" fillId="9" borderId="9" xfId="0" applyNumberFormat="1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wrapText="1"/>
    </xf>
    <xf numFmtId="0" fontId="0" fillId="21" borderId="1" xfId="0" applyFill="1" applyBorder="1" applyAlignment="1">
      <alignment horizontal="center" wrapText="1"/>
    </xf>
    <xf numFmtId="0" fontId="1" fillId="0" borderId="0" xfId="0" applyFont="1" applyAlignment="1">
      <alignment wrapText="1"/>
    </xf>
  </cellXfs>
  <cellStyles count="5">
    <cellStyle name="Hipervínculo" xfId="2" builtinId="8"/>
    <cellStyle name="Hyperlink" xfId="3" xr:uid="{00000000-0005-0000-0000-000001000000}"/>
    <cellStyle name="Moneda" xfId="1" builtinId="4"/>
    <cellStyle name="Normal" xfId="0" builtinId="0"/>
    <cellStyle name="Porcentaje" xfId="4" builtinId="5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B800"/>
      <color rgb="FFD13B5F"/>
      <color rgb="FFDBA7D4"/>
      <color rgb="FFCA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lsy.martinez@cundinamarca.gov.co" TargetMode="External"/><Relationship Id="rId1" Type="http://schemas.openxmlformats.org/officeDocument/2006/relationships/hyperlink" Target="mailto:arturo.melo@cundinamarca.gov.co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08&amp;viewid=7cae932b%2D32b8%2D4f78%2D97aa%2D790724d27c4f&amp;sharingv2=true&amp;fromShare=true&amp;at=9&amp;CID=6e8b776c%2Da5c3%2D4692%2D9829%2Dff0422c8ec05&amp;FolderCTID=0x012000AA291A4CFCB2B04FA6702E0C9D295BAB&amp;view=0" TargetMode="External"/><Relationship Id="rId13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3&amp;viewid=7cae932b%2D32b8%2D4f78%2D97aa%2D790724d27c4f&amp;sharingv2=true&amp;fromShare=true&amp;at=9&amp;CID=6e8b776c%2Da5c3%2D4692%2D9829%2Dff0422c8ec05&amp;FolderCTID=0x012000AA291A4CFCB2B04FA6702E0C9D295BAB&amp;view=0" TargetMode="External"/><Relationship Id="rId18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8&amp;viewid=7cae932b%2D32b8%2D4f78%2D97aa%2D790724d27c4f&amp;sharingv2=true&amp;fromShare=true&amp;at=9&amp;CID=6e8b776c%2Da5c3%2D4692%2D9829%2Dff0422c8ec05&amp;FolderCTID=0x012000AA291A4CFCB2B04FA6702E0C9D295BAB&amp;view=0" TargetMode="External"/><Relationship Id="rId3" Type="http://schemas.openxmlformats.org/officeDocument/2006/relationships/hyperlink" Target="../../../../../../../../:f:/g/personal/luis_montenegro_cundinamarca_gov_co/EnIKSm2xtatGu-W-PHy5NEIBQSZaDANw8WNc3gsFVWpSwA?e=gxmscH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../../../../../../../../:f:/g/personal/luis_montenegro_cundinamarca_gov_co/EjUwLKGl_tpAryVp1aGRyZ4BhD6A_YN3Ni5KWGsyylP3AQ?e=dT6dRU" TargetMode="External"/><Relationship Id="rId12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2&amp;viewid=7cae932b%2D32b8%2D4f78%2D97aa%2D790724d27c4f&amp;sharingv2=true&amp;fromShare=true&amp;at=9&amp;CID=6e8b776c%2Da5c3%2D4692%2D9829%2Dff0422c8ec05&amp;FolderCTID=0x012000AA291A4CFCB2B04FA6702E0C9D295BAB&amp;view=0" TargetMode="External"/><Relationship Id="rId17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7&amp;viewid=7cae932b%2D32b8%2D4f78%2D97aa%2D790724d27c4f&amp;sharingv2=true&amp;fromShare=true&amp;at=9&amp;CID=6e8b776c%2Da5c3%2D4692%2D9829%2Dff0422c8ec05&amp;FolderCTID=0x012000AA291A4CFCB2B04FA6702E0C9D295BAB&amp;view=0" TargetMode="External"/><Relationship Id="rId2" Type="http://schemas.openxmlformats.org/officeDocument/2006/relationships/hyperlink" Target="../../../../../../../../:f:/g/personal/luis_montenegro_cundinamarca_gov_co/Ekuyoq88BrdLjLHYRQPQjwcBtlh3XyvcJhTdrhzXz-FOiQ?e=vGzX1R" TargetMode="External"/><Relationship Id="rId16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6&amp;viewid=7cae932b%2D32b8%2D4f78%2D97aa%2D790724d27c4f&amp;sharingv2=true&amp;fromShare=true&amp;at=9&amp;CID=6e8b776c%2Da5c3%2D4692%2D9829%2Dff0422c8ec05&amp;FolderCTID=0x012000AA291A4CFCB2B04FA6702E0C9D295BAB&amp;view=0" TargetMode="External"/><Relationship Id="rId20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20&amp;viewid=7cae932b%2D32b8%2D4f78%2D97aa%2D790724d27c4f&amp;sharingv2=true&amp;fromShare=true&amp;at=9&amp;CID=6e8b776c%2Da5c3%2D4692%2D9829%2Dff0422c8ec05&amp;FolderCTID=0x012000AA291A4CFCB2B04FA6702E0C9D295BAB&amp;view=0" TargetMode="External"/><Relationship Id="rId1" Type="http://schemas.openxmlformats.org/officeDocument/2006/relationships/hyperlink" Target="../../../../../../../../:f:/g/personal/luis_montenegro_cundinamarca_gov_co/EsM8vovYDwtOlk2ssfcR81cBTHVOtN_7XYDN5-hCq4YZOw?e=rUazi6" TargetMode="External"/><Relationship Id="rId6" Type="http://schemas.openxmlformats.org/officeDocument/2006/relationships/hyperlink" Target="../../../../../../../../:f:/g/personal/luis_montenegro_cundinamarca_gov_co/EjKRTJlxMhdElCMQxT2OVXIBZE5Erlwb-WM6D3kuJVLNZA?e=Oa4utH" TargetMode="External"/><Relationship Id="rId11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1&amp;viewid=7cae932b%2D32b8%2D4f78%2D97aa%2D790724d27c4f&amp;sharingv2=true&amp;fromShare=true&amp;at=9&amp;CID=6e8b776c%2Da5c3%2D4692%2D9829%2Dff0422c8ec05&amp;FolderCTID=0x012000AA291A4CFCB2B04FA6702E0C9D295BAB&amp;view=0" TargetMode="External"/><Relationship Id="rId5" Type="http://schemas.openxmlformats.org/officeDocument/2006/relationships/hyperlink" Target="../../../../../../../../:f:/g/personal/luis_montenegro_cundinamarca_gov_co/En5q1LGOAW9Pk77LmAVbxcEBwuDv6Dhyq3ilEgE9zeX0Rg?e=eLmkAv" TargetMode="External"/><Relationship Id="rId15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5&amp;viewid=7cae932b%2D32b8%2D4f78%2D97aa%2D790724d27c4f&amp;sharingv2=true&amp;fromShare=true&amp;at=9&amp;CID=6e8b776c%2Da5c3%2D4692%2D9829%2Dff0422c8ec05&amp;FolderCTID=0x012000AA291A4CFCB2B04FA6702E0C9D295BAB&amp;view=0" TargetMode="External"/><Relationship Id="rId10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0&amp;viewid=7cae932b%2D32b8%2D4f78%2D97aa%2D790724d27c4f&amp;sharingv2=true&amp;fromShare=true&amp;at=9&amp;CID=6e8b776c%2Da5c3%2D4692%2D9829%2Dff0422c8ec05&amp;FolderCTID=0x012000AA291A4CFCB2B04FA6702E0C9D295BAB&amp;view=0" TargetMode="External"/><Relationship Id="rId19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9&amp;viewid=7cae932b%2D32b8%2D4f78%2D97aa%2D790724d27c4f&amp;sharingv2=true&amp;fromShare=true&amp;at=9&amp;CID=6e8b776c%2Da5c3%2D4692%2D9829%2Dff0422c8ec05&amp;FolderCTID=0x012000AA291A4CFCB2B04FA6702E0C9D295BAB&amp;view=0" TargetMode="External"/><Relationship Id="rId4" Type="http://schemas.openxmlformats.org/officeDocument/2006/relationships/hyperlink" Target="../../../../../../../../:f:/g/personal/luis_montenegro_cundinamarca_gov_co/EhiyfrJN1ZdPoVSVfgnD758BZ9zLegGvl1qi7KAtlZ2d-A?e=ut4kPH" TargetMode="External"/><Relationship Id="rId9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09&amp;viewid=7cae932b%2D32b8%2D4f78%2D97aa%2D790724d27c4f&amp;sharingv2=true&amp;fromShare=true&amp;at=9&amp;CID=6e8b776c%2Da5c3%2D4692%2D9829%2Dff0422c8ec05&amp;FolderCTID=0x012000AA291A4CFCB2B04FA6702E0C9D295BAB&amp;view=0" TargetMode="External"/><Relationship Id="rId14" Type="http://schemas.openxmlformats.org/officeDocument/2006/relationships/hyperlink" Target="../../../../../../_layouts/15/onedrive.aspx?id=%2Fpersonal%2Fluis%5Fmontenegro%5Fcundinamarca%5Fgov%5Fco%2FDocuments%2F2025%20TIC%2FPROYECTOS%20TI%2FPETI%2FPETI%2001%2FENTREGABLES%2FENTREGABLE%2014&amp;viewid=7cae932b%2D32b8%2D4f78%2D97aa%2D790724d27c4f&amp;sharingv2=true&amp;fromShare=true&amp;at=9&amp;CID=6e8b776c%2Da5c3%2D4692%2D9829%2Dff0422c8ec05&amp;FolderCTID=0x012000AA291A4CFCB2B04FA6702E0C9D295BAB&amp;view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8"/>
  <sheetViews>
    <sheetView topLeftCell="B4" workbookViewId="0">
      <selection activeCell="C9" sqref="C9"/>
    </sheetView>
  </sheetViews>
  <sheetFormatPr defaultColWidth="11.42578125" defaultRowHeight="15"/>
  <cols>
    <col min="2" max="2" width="42" bestFit="1" customWidth="1"/>
    <col min="3" max="3" width="39.85546875" bestFit="1" customWidth="1"/>
  </cols>
  <sheetData>
    <row r="2" spans="2:3">
      <c r="B2" s="1" t="s">
        <v>0</v>
      </c>
      <c r="C2" s="24" t="s">
        <v>1</v>
      </c>
    </row>
    <row r="3" spans="2:3" ht="30">
      <c r="B3" s="1" t="s">
        <v>2</v>
      </c>
      <c r="C3" s="109" t="s">
        <v>3</v>
      </c>
    </row>
    <row r="4" spans="2:3" ht="60">
      <c r="B4" s="1" t="s">
        <v>4</v>
      </c>
      <c r="C4" s="109" t="s">
        <v>5</v>
      </c>
    </row>
    <row r="5" spans="2:3">
      <c r="B5" s="1" t="s">
        <v>6</v>
      </c>
      <c r="C5" s="29" t="s">
        <v>7</v>
      </c>
    </row>
    <row r="6" spans="2:3">
      <c r="B6" s="1" t="s">
        <v>8</v>
      </c>
      <c r="C6" s="30" t="s">
        <v>9</v>
      </c>
    </row>
    <row r="7" spans="2:3">
      <c r="B7" s="1" t="s">
        <v>10</v>
      </c>
      <c r="C7" s="29" t="s">
        <v>11</v>
      </c>
    </row>
    <row r="8" spans="2:3">
      <c r="B8" s="3" t="s">
        <v>12</v>
      </c>
      <c r="C8" s="29" t="s">
        <v>13</v>
      </c>
    </row>
    <row r="9" spans="2:3">
      <c r="B9" s="1" t="s">
        <v>14</v>
      </c>
      <c r="C9" s="33" t="s">
        <v>15</v>
      </c>
    </row>
    <row r="10" spans="2:3" ht="60">
      <c r="B10" s="1" t="s">
        <v>16</v>
      </c>
      <c r="C10" s="32" t="s">
        <v>17</v>
      </c>
    </row>
    <row r="11" spans="2:3" ht="60">
      <c r="B11" s="2" t="s">
        <v>18</v>
      </c>
      <c r="C11" s="29" t="s">
        <v>19</v>
      </c>
    </row>
    <row r="12" spans="2:3">
      <c r="B12" s="1" t="s">
        <v>20</v>
      </c>
      <c r="C12" s="29">
        <v>2024</v>
      </c>
    </row>
    <row r="13" spans="2:3">
      <c r="B13" s="1" t="s">
        <v>21</v>
      </c>
      <c r="C13" s="29">
        <v>2027</v>
      </c>
    </row>
    <row r="14" spans="2:3">
      <c r="B14" s="1" t="s">
        <v>22</v>
      </c>
      <c r="C14" s="31" t="s">
        <v>23</v>
      </c>
    </row>
    <row r="15" spans="2:3">
      <c r="B15" s="1" t="s">
        <v>24</v>
      </c>
      <c r="C15" s="29" t="s">
        <v>25</v>
      </c>
    </row>
    <row r="16" spans="2:3">
      <c r="B16" s="1" t="s">
        <v>26</v>
      </c>
      <c r="C16" s="26" t="s">
        <v>27</v>
      </c>
    </row>
    <row r="17" spans="2:3">
      <c r="B17" s="28" t="s">
        <v>28</v>
      </c>
      <c r="C17" s="27" t="s">
        <v>25</v>
      </c>
    </row>
    <row r="18" spans="2:3">
      <c r="C18" s="25"/>
    </row>
  </sheetData>
  <protectedRanges>
    <protectedRange sqref="C3:C18" name="Rango1_1"/>
  </protectedRanges>
  <hyperlinks>
    <hyperlink ref="C6" r:id="rId1" display="mailto:arturo.melo@cundinamarca.gov.co" xr:uid="{00000000-0004-0000-0000-000000000000}"/>
    <hyperlink ref="C9" r:id="rId2" xr:uid="{00000000-0004-0000-0000-00000100000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Z34"/>
  <sheetViews>
    <sheetView tabSelected="1" topLeftCell="F1" zoomScale="90" zoomScaleNormal="90" workbookViewId="0">
      <selection activeCell="L6" sqref="L6"/>
    </sheetView>
  </sheetViews>
  <sheetFormatPr defaultColWidth="11.42578125" defaultRowHeight="15"/>
  <cols>
    <col min="1" max="1" width="2.28515625" customWidth="1"/>
    <col min="2" max="2" width="21.5703125" bestFit="1" customWidth="1"/>
    <col min="3" max="3" width="10.28515625" customWidth="1"/>
    <col min="4" max="4" width="8.140625" bestFit="1" customWidth="1"/>
    <col min="5" max="5" width="5" bestFit="1" customWidth="1"/>
    <col min="6" max="6" width="16.28515625" bestFit="1" customWidth="1"/>
    <col min="7" max="7" width="8" bestFit="1" customWidth="1"/>
    <col min="8" max="8" width="28.7109375" bestFit="1" customWidth="1"/>
    <col min="9" max="9" width="12" bestFit="1" customWidth="1"/>
    <col min="10" max="10" width="11.85546875" bestFit="1" customWidth="1"/>
    <col min="11" max="11" width="9.28515625" bestFit="1" customWidth="1"/>
    <col min="12" max="12" width="7.140625" bestFit="1" customWidth="1"/>
    <col min="13" max="13" width="18.7109375" customWidth="1"/>
    <col min="14" max="14" width="21.5703125" bestFit="1" customWidth="1"/>
    <col min="15" max="15" width="17.140625" bestFit="1" customWidth="1"/>
    <col min="16" max="17" width="11.42578125" bestFit="1" customWidth="1"/>
    <col min="20" max="20" width="6" bestFit="1" customWidth="1"/>
    <col min="26" max="26" width="24.28515625" customWidth="1"/>
  </cols>
  <sheetData>
    <row r="2" spans="2:26">
      <c r="B2" s="34" t="s">
        <v>29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2:26">
      <c r="B3" s="38" t="s">
        <v>30</v>
      </c>
      <c r="C3" s="39" t="s">
        <v>30</v>
      </c>
      <c r="D3" s="39" t="s">
        <v>31</v>
      </c>
      <c r="E3" s="39" t="s">
        <v>31</v>
      </c>
      <c r="F3" s="39" t="s">
        <v>32</v>
      </c>
      <c r="G3" s="39" t="s">
        <v>32</v>
      </c>
      <c r="H3" s="39" t="s">
        <v>32</v>
      </c>
      <c r="I3" s="39" t="s">
        <v>32</v>
      </c>
      <c r="J3" s="39" t="s">
        <v>32</v>
      </c>
      <c r="K3" s="39" t="s">
        <v>32</v>
      </c>
      <c r="L3" s="39" t="s">
        <v>33</v>
      </c>
      <c r="M3" s="39" t="s">
        <v>32</v>
      </c>
      <c r="N3" s="39" t="s">
        <v>34</v>
      </c>
      <c r="O3" s="40" t="s">
        <v>35</v>
      </c>
      <c r="P3" s="40" t="s">
        <v>35</v>
      </c>
      <c r="Q3" s="40" t="s">
        <v>35</v>
      </c>
      <c r="R3" s="41"/>
      <c r="S3" s="35" t="s">
        <v>36</v>
      </c>
      <c r="T3" s="41"/>
      <c r="U3" s="40" t="s">
        <v>37</v>
      </c>
      <c r="V3" s="40" t="s">
        <v>37</v>
      </c>
      <c r="W3" s="40" t="s">
        <v>37</v>
      </c>
      <c r="X3" s="92" t="s">
        <v>38</v>
      </c>
      <c r="Y3" s="92" t="s">
        <v>39</v>
      </c>
      <c r="Z3" s="92" t="s">
        <v>40</v>
      </c>
    </row>
    <row r="4" spans="2:26">
      <c r="B4" s="42" t="s">
        <v>41</v>
      </c>
      <c r="C4" s="43" t="s">
        <v>42</v>
      </c>
      <c r="D4" s="43" t="s">
        <v>43</v>
      </c>
      <c r="E4" s="43" t="s">
        <v>44</v>
      </c>
      <c r="F4" s="44" t="s">
        <v>45</v>
      </c>
      <c r="G4" s="43" t="s">
        <v>44</v>
      </c>
      <c r="H4" s="45" t="s">
        <v>46</v>
      </c>
      <c r="I4" s="43" t="s">
        <v>47</v>
      </c>
      <c r="J4" s="39" t="s">
        <v>48</v>
      </c>
      <c r="K4" s="39" t="s">
        <v>36</v>
      </c>
      <c r="L4" s="39" t="s">
        <v>49</v>
      </c>
      <c r="M4" s="46" t="s">
        <v>50</v>
      </c>
      <c r="N4" s="39" t="s">
        <v>51</v>
      </c>
      <c r="O4" s="47" t="s">
        <v>52</v>
      </c>
      <c r="P4" s="47" t="s">
        <v>30</v>
      </c>
      <c r="Q4" s="47" t="s">
        <v>53</v>
      </c>
      <c r="R4" s="36" t="s">
        <v>54</v>
      </c>
      <c r="S4" s="36" t="s">
        <v>55</v>
      </c>
      <c r="T4" s="35" t="s">
        <v>56</v>
      </c>
      <c r="U4" s="36" t="s">
        <v>57</v>
      </c>
      <c r="V4" s="36" t="s">
        <v>58</v>
      </c>
      <c r="W4" s="36" t="s">
        <v>59</v>
      </c>
      <c r="X4" s="93" t="s">
        <v>60</v>
      </c>
      <c r="Y4" s="93" t="s">
        <v>61</v>
      </c>
      <c r="Z4" s="93" t="s">
        <v>61</v>
      </c>
    </row>
    <row r="5" spans="2:26">
      <c r="B5" s="48" t="s">
        <v>62</v>
      </c>
      <c r="C5" s="49">
        <v>1</v>
      </c>
      <c r="D5" s="50" t="s">
        <v>63</v>
      </c>
      <c r="E5" s="51">
        <v>0.12</v>
      </c>
      <c r="F5" s="52" t="s">
        <v>64</v>
      </c>
      <c r="G5" s="53">
        <v>1</v>
      </c>
      <c r="H5" s="54" t="s">
        <v>65</v>
      </c>
      <c r="I5" s="55">
        <v>45657</v>
      </c>
      <c r="J5" s="56">
        <v>45651</v>
      </c>
      <c r="K5" s="57">
        <f>I5-J5</f>
        <v>6</v>
      </c>
      <c r="L5" s="58">
        <f>IF(ISNUMBER(J5),1,0)</f>
        <v>1</v>
      </c>
      <c r="M5" s="59" t="s">
        <v>66</v>
      </c>
      <c r="N5" s="60"/>
      <c r="O5" s="61">
        <f>(G5*L5)</f>
        <v>1</v>
      </c>
      <c r="P5" s="49">
        <f>(E5*O5)+(E6*O6)+(E7*O7)+(E8*O8)+(E9*O9)+(E10*O10)+(E11*O11)+(E12*O12)+(E13*O13)+(E14*O14)+(E15*O15)+(E16*O16)+(E17*O17)+(E18*O18)+(E19*O19)+(E20*O20)+(E21*O21)+(E22*O22)+(E23*O23)+(E24*O24)</f>
        <v>0.64000000000000012</v>
      </c>
      <c r="Q5" s="62">
        <f>(P5*C5)</f>
        <v>0.64000000000000012</v>
      </c>
      <c r="R5" s="63">
        <f ca="1">TODAY()</f>
        <v>46273</v>
      </c>
      <c r="S5" s="76">
        <f ca="1">I5-R5</f>
        <v>-616</v>
      </c>
      <c r="T5" s="64">
        <f ca="1">IF(S5&gt;0,0,1)</f>
        <v>1</v>
      </c>
      <c r="U5" s="106">
        <f ca="1">(G5*T5)</f>
        <v>1</v>
      </c>
      <c r="V5" s="65">
        <f ca="1">(U5*E5)+(U6*E6)+(E7*U7)+(E8*U8)+(E9*U9)+(E10*U10)+(E11*U11)+(E12*U12)+(E13*U13)+(E14*U14)+(E15*U15)+(E16*U16)+(E17*U17)+(E18*U18)+(E19*U19)+(E20*U20)+(E21*U21)+(E22*U22)+(E23*U23)+(E24*U24)</f>
        <v>0.64000000000000012</v>
      </c>
      <c r="W5" s="62">
        <f ca="1">(V5*C6)</f>
        <v>0.64000000000000012</v>
      </c>
      <c r="X5" s="94" t="str">
        <f ca="1">IF(R5-I5&gt;=0,"Si","No")</f>
        <v>Si</v>
      </c>
      <c r="Y5" s="94" t="str">
        <f ca="1">IF(AND(L5=1,X5="Si"),"Si","")</f>
        <v>Si</v>
      </c>
      <c r="Z5" s="94" t="str">
        <f ca="1">IF(AND(K5&gt;=0,X5="Si"),"Si","")</f>
        <v>Si</v>
      </c>
    </row>
    <row r="6" spans="2:26" ht="25.5">
      <c r="B6" s="48" t="s">
        <v>62</v>
      </c>
      <c r="C6" s="49">
        <v>1</v>
      </c>
      <c r="D6" s="50" t="s">
        <v>67</v>
      </c>
      <c r="E6" s="51">
        <v>0.1</v>
      </c>
      <c r="F6" s="52" t="s">
        <v>68</v>
      </c>
      <c r="G6" s="53">
        <v>1</v>
      </c>
      <c r="H6" s="54" t="s">
        <v>69</v>
      </c>
      <c r="I6" s="55">
        <v>45657</v>
      </c>
      <c r="J6" s="56">
        <v>45652</v>
      </c>
      <c r="K6" s="57">
        <f t="shared" ref="K6:K24" si="0">I6-J6</f>
        <v>5</v>
      </c>
      <c r="L6" s="58">
        <f t="shared" ref="L6:L24" si="1">IF(ISNUMBER(J6),1,0)</f>
        <v>1</v>
      </c>
      <c r="M6" s="59" t="s">
        <v>70</v>
      </c>
      <c r="N6" s="60"/>
      <c r="O6" s="61">
        <f>(G6*L6)</f>
        <v>1</v>
      </c>
      <c r="P6" s="66"/>
      <c r="Q6" s="67"/>
      <c r="R6" s="63">
        <f ca="1">TODAY()</f>
        <v>46273</v>
      </c>
      <c r="S6" s="76">
        <f ca="1">I6-R6</f>
        <v>-616</v>
      </c>
      <c r="T6" s="64">
        <f t="shared" ref="T6:T24" ca="1" si="2">IF(S6&gt;0,0,1)</f>
        <v>1</v>
      </c>
      <c r="U6" s="106">
        <f t="shared" ref="U6:U24" ca="1" si="3">(G6*T6)</f>
        <v>1</v>
      </c>
      <c r="V6" s="68"/>
      <c r="W6" s="68"/>
      <c r="X6" s="94" t="str">
        <f t="shared" ref="X6:X24" ca="1" si="4">IF(R6-I6&gt;=0,"Si","No")</f>
        <v>Si</v>
      </c>
      <c r="Y6" s="94" t="str">
        <f t="shared" ref="Y6:Y24" ca="1" si="5">IF(AND(L6=1,X6="Si"),"Si","")</f>
        <v>Si</v>
      </c>
      <c r="Z6" s="94" t="str">
        <f t="shared" ref="Z6:Z24" ca="1" si="6">IF(AND(K6&gt;=0,X6="Si"),"Si","")</f>
        <v>Si</v>
      </c>
    </row>
    <row r="7" spans="2:26">
      <c r="B7" s="48" t="s">
        <v>62</v>
      </c>
      <c r="C7" s="49">
        <v>1</v>
      </c>
      <c r="D7" s="50" t="s">
        <v>71</v>
      </c>
      <c r="E7" s="51">
        <v>7.0000000000000007E-2</v>
      </c>
      <c r="F7" s="52" t="s">
        <v>72</v>
      </c>
      <c r="G7" s="53">
        <v>1</v>
      </c>
      <c r="H7" s="54" t="s">
        <v>73</v>
      </c>
      <c r="I7" s="55">
        <v>45657</v>
      </c>
      <c r="J7" s="56">
        <v>45644</v>
      </c>
      <c r="K7" s="57">
        <f t="shared" si="0"/>
        <v>13</v>
      </c>
      <c r="L7" s="58">
        <f t="shared" si="1"/>
        <v>1</v>
      </c>
      <c r="M7" s="59" t="s">
        <v>74</v>
      </c>
      <c r="N7" s="60"/>
      <c r="O7" s="61">
        <f t="shared" ref="O7:O24" si="7">(G7*L7)</f>
        <v>1</v>
      </c>
      <c r="P7" s="66"/>
      <c r="Q7" s="67"/>
      <c r="R7" s="63">
        <f t="shared" ref="R7:R24" ca="1" si="8">TODAY()</f>
        <v>46273</v>
      </c>
      <c r="S7" s="76">
        <f ca="1">I7-R7</f>
        <v>-616</v>
      </c>
      <c r="T7" s="64">
        <f t="shared" ca="1" si="2"/>
        <v>1</v>
      </c>
      <c r="U7" s="106">
        <f t="shared" ca="1" si="3"/>
        <v>1</v>
      </c>
      <c r="V7" s="68"/>
      <c r="W7" s="68"/>
      <c r="X7" s="94" t="str">
        <f t="shared" ca="1" si="4"/>
        <v>Si</v>
      </c>
      <c r="Y7" s="94" t="str">
        <f t="shared" ca="1" si="5"/>
        <v>Si</v>
      </c>
      <c r="Z7" s="94" t="str">
        <f t="shared" ca="1" si="6"/>
        <v>Si</v>
      </c>
    </row>
    <row r="8" spans="2:26">
      <c r="B8" s="48" t="s">
        <v>62</v>
      </c>
      <c r="C8" s="49">
        <v>1</v>
      </c>
      <c r="D8" s="50" t="s">
        <v>75</v>
      </c>
      <c r="E8" s="51">
        <v>7.0000000000000007E-2</v>
      </c>
      <c r="F8" s="69" t="s">
        <v>76</v>
      </c>
      <c r="G8" s="53">
        <v>1</v>
      </c>
      <c r="H8" s="54" t="s">
        <v>77</v>
      </c>
      <c r="I8" s="55">
        <v>45657</v>
      </c>
      <c r="J8" s="56">
        <v>45644</v>
      </c>
      <c r="K8" s="57">
        <f t="shared" si="0"/>
        <v>13</v>
      </c>
      <c r="L8" s="58">
        <f t="shared" si="1"/>
        <v>1</v>
      </c>
      <c r="M8" s="59" t="s">
        <v>78</v>
      </c>
      <c r="N8" s="60"/>
      <c r="O8" s="61">
        <f t="shared" si="7"/>
        <v>1</v>
      </c>
      <c r="P8" s="66"/>
      <c r="Q8" s="67"/>
      <c r="R8" s="63">
        <f t="shared" ca="1" si="8"/>
        <v>46273</v>
      </c>
      <c r="S8" s="76">
        <f t="shared" ref="S8:S24" ca="1" si="9">I8-R8</f>
        <v>-616</v>
      </c>
      <c r="T8" s="64">
        <f t="shared" ca="1" si="2"/>
        <v>1</v>
      </c>
      <c r="U8" s="106">
        <f t="shared" ca="1" si="3"/>
        <v>1</v>
      </c>
      <c r="V8" s="68"/>
      <c r="W8" s="68"/>
      <c r="X8" s="94" t="str">
        <f t="shared" ca="1" si="4"/>
        <v>Si</v>
      </c>
      <c r="Y8" s="94" t="str">
        <f t="shared" ca="1" si="5"/>
        <v>Si</v>
      </c>
      <c r="Z8" s="94" t="str">
        <f t="shared" ca="1" si="6"/>
        <v>Si</v>
      </c>
    </row>
    <row r="9" spans="2:26">
      <c r="B9" s="48" t="s">
        <v>62</v>
      </c>
      <c r="C9" s="49">
        <v>1</v>
      </c>
      <c r="D9" s="50" t="s">
        <v>79</v>
      </c>
      <c r="E9" s="51">
        <v>0.04</v>
      </c>
      <c r="F9" s="69" t="s">
        <v>80</v>
      </c>
      <c r="G9" s="53">
        <v>1</v>
      </c>
      <c r="H9" s="54" t="s">
        <v>81</v>
      </c>
      <c r="I9" s="55">
        <v>45657</v>
      </c>
      <c r="J9" s="56">
        <v>45644</v>
      </c>
      <c r="K9" s="57">
        <f t="shared" si="0"/>
        <v>13</v>
      </c>
      <c r="L9" s="58">
        <f t="shared" si="1"/>
        <v>1</v>
      </c>
      <c r="M9" s="59" t="s">
        <v>82</v>
      </c>
      <c r="N9" s="60"/>
      <c r="O9" s="61">
        <f t="shared" si="7"/>
        <v>1</v>
      </c>
      <c r="P9" s="66"/>
      <c r="Q9" s="67"/>
      <c r="R9" s="63">
        <f t="shared" ca="1" si="8"/>
        <v>46273</v>
      </c>
      <c r="S9" s="76">
        <f t="shared" ca="1" si="9"/>
        <v>-616</v>
      </c>
      <c r="T9" s="64">
        <f t="shared" ca="1" si="2"/>
        <v>1</v>
      </c>
      <c r="U9" s="106">
        <f t="shared" ca="1" si="3"/>
        <v>1</v>
      </c>
      <c r="V9" s="68"/>
      <c r="W9" s="68"/>
      <c r="X9" s="94" t="str">
        <f t="shared" ca="1" si="4"/>
        <v>Si</v>
      </c>
      <c r="Y9" s="94" t="str">
        <f t="shared" ca="1" si="5"/>
        <v>Si</v>
      </c>
      <c r="Z9" s="94" t="str">
        <f t="shared" ca="1" si="6"/>
        <v>Si</v>
      </c>
    </row>
    <row r="10" spans="2:26" ht="25.5">
      <c r="B10" s="48" t="s">
        <v>62</v>
      </c>
      <c r="C10" s="49">
        <v>1</v>
      </c>
      <c r="D10" s="50" t="s">
        <v>83</v>
      </c>
      <c r="E10" s="51">
        <v>0.04</v>
      </c>
      <c r="F10" s="69" t="s">
        <v>84</v>
      </c>
      <c r="G10" s="53">
        <v>1</v>
      </c>
      <c r="H10" s="54" t="s">
        <v>85</v>
      </c>
      <c r="I10" s="55">
        <v>45687</v>
      </c>
      <c r="J10" s="56">
        <v>45680</v>
      </c>
      <c r="K10" s="57">
        <f t="shared" si="0"/>
        <v>7</v>
      </c>
      <c r="L10" s="58">
        <f t="shared" si="1"/>
        <v>1</v>
      </c>
      <c r="M10" s="59" t="s">
        <v>86</v>
      </c>
      <c r="N10" s="60"/>
      <c r="O10" s="61">
        <f t="shared" si="7"/>
        <v>1</v>
      </c>
      <c r="P10" s="66"/>
      <c r="Q10" s="67"/>
      <c r="R10" s="63">
        <f t="shared" ca="1" si="8"/>
        <v>46273</v>
      </c>
      <c r="S10" s="76">
        <f t="shared" ca="1" si="9"/>
        <v>-586</v>
      </c>
      <c r="T10" s="64">
        <f t="shared" ca="1" si="2"/>
        <v>1</v>
      </c>
      <c r="U10" s="106">
        <f t="shared" ca="1" si="3"/>
        <v>1</v>
      </c>
      <c r="V10" s="68"/>
      <c r="W10" s="68"/>
      <c r="X10" s="94" t="str">
        <f t="shared" ca="1" si="4"/>
        <v>Si</v>
      </c>
      <c r="Y10" s="94" t="str">
        <f t="shared" ca="1" si="5"/>
        <v>Si</v>
      </c>
      <c r="Z10" s="94" t="str">
        <f t="shared" ca="1" si="6"/>
        <v>Si</v>
      </c>
    </row>
    <row r="11" spans="2:26" ht="25.5">
      <c r="B11" s="48" t="s">
        <v>62</v>
      </c>
      <c r="C11" s="49">
        <v>1</v>
      </c>
      <c r="D11" s="50" t="s">
        <v>87</v>
      </c>
      <c r="E11" s="51">
        <v>0.04</v>
      </c>
      <c r="F11" s="52" t="s">
        <v>88</v>
      </c>
      <c r="G11" s="53">
        <v>1</v>
      </c>
      <c r="H11" s="54" t="s">
        <v>89</v>
      </c>
      <c r="I11" s="55">
        <v>45657</v>
      </c>
      <c r="J11" s="56">
        <v>45644</v>
      </c>
      <c r="K11" s="57">
        <f t="shared" si="0"/>
        <v>13</v>
      </c>
      <c r="L11" s="58">
        <f t="shared" si="1"/>
        <v>1</v>
      </c>
      <c r="M11" s="59" t="s">
        <v>90</v>
      </c>
      <c r="N11" s="60"/>
      <c r="O11" s="61">
        <f t="shared" si="7"/>
        <v>1</v>
      </c>
      <c r="P11" s="66"/>
      <c r="Q11" s="67"/>
      <c r="R11" s="63">
        <f t="shared" ca="1" si="8"/>
        <v>46273</v>
      </c>
      <c r="S11" s="76">
        <f t="shared" ca="1" si="9"/>
        <v>-616</v>
      </c>
      <c r="T11" s="64">
        <f t="shared" ca="1" si="2"/>
        <v>1</v>
      </c>
      <c r="U11" s="106">
        <f t="shared" ca="1" si="3"/>
        <v>1</v>
      </c>
      <c r="V11" s="68"/>
      <c r="W11" s="68"/>
      <c r="X11" s="94" t="str">
        <f t="shared" ca="1" si="4"/>
        <v>Si</v>
      </c>
      <c r="Y11" s="94" t="str">
        <f t="shared" ca="1" si="5"/>
        <v>Si</v>
      </c>
      <c r="Z11" s="94" t="str">
        <f t="shared" ca="1" si="6"/>
        <v>Si</v>
      </c>
    </row>
    <row r="12" spans="2:26" ht="25.5">
      <c r="B12" s="48" t="s">
        <v>62</v>
      </c>
      <c r="C12" s="49">
        <v>1</v>
      </c>
      <c r="D12" s="50" t="s">
        <v>91</v>
      </c>
      <c r="E12" s="51">
        <v>0.04</v>
      </c>
      <c r="F12" s="52" t="s">
        <v>92</v>
      </c>
      <c r="G12" s="53">
        <v>1</v>
      </c>
      <c r="H12" s="54" t="s">
        <v>93</v>
      </c>
      <c r="I12" s="55">
        <v>45641</v>
      </c>
      <c r="J12" s="56">
        <v>45636</v>
      </c>
      <c r="K12" s="57">
        <f t="shared" si="0"/>
        <v>5</v>
      </c>
      <c r="L12" s="58">
        <f t="shared" si="1"/>
        <v>1</v>
      </c>
      <c r="M12" s="59" t="s">
        <v>94</v>
      </c>
      <c r="N12" s="70"/>
      <c r="O12" s="61">
        <f>(G12*L12)</f>
        <v>1</v>
      </c>
      <c r="P12" s="66"/>
      <c r="Q12" s="67"/>
      <c r="R12" s="63">
        <f t="shared" ca="1" si="8"/>
        <v>46273</v>
      </c>
      <c r="S12" s="76">
        <f t="shared" ca="1" si="9"/>
        <v>-632</v>
      </c>
      <c r="T12" s="64">
        <f t="shared" ca="1" si="2"/>
        <v>1</v>
      </c>
      <c r="U12" s="106">
        <f t="shared" ca="1" si="3"/>
        <v>1</v>
      </c>
      <c r="V12" s="68"/>
      <c r="W12" s="68"/>
      <c r="X12" s="94" t="str">
        <f t="shared" ca="1" si="4"/>
        <v>Si</v>
      </c>
      <c r="Y12" s="94" t="str">
        <f t="shared" ca="1" si="5"/>
        <v>Si</v>
      </c>
      <c r="Z12" s="94" t="str">
        <f t="shared" ca="1" si="6"/>
        <v>Si</v>
      </c>
    </row>
    <row r="13" spans="2:26">
      <c r="B13" s="48" t="s">
        <v>62</v>
      </c>
      <c r="C13" s="49">
        <v>1</v>
      </c>
      <c r="D13" s="50" t="s">
        <v>95</v>
      </c>
      <c r="E13" s="51">
        <v>0.04</v>
      </c>
      <c r="F13" s="52" t="s">
        <v>96</v>
      </c>
      <c r="G13" s="53">
        <v>1</v>
      </c>
      <c r="H13" s="54" t="s">
        <v>97</v>
      </c>
      <c r="I13" s="71">
        <v>46022</v>
      </c>
      <c r="J13" s="72">
        <v>46014</v>
      </c>
      <c r="K13" s="57">
        <f>I13-J13</f>
        <v>8</v>
      </c>
      <c r="L13" s="58">
        <f t="shared" si="1"/>
        <v>1</v>
      </c>
      <c r="M13" s="59" t="s">
        <v>98</v>
      </c>
      <c r="N13" s="60"/>
      <c r="O13" s="61">
        <f t="shared" si="7"/>
        <v>1</v>
      </c>
      <c r="P13" s="66"/>
      <c r="Q13" s="67"/>
      <c r="R13" s="63">
        <f t="shared" ca="1" si="8"/>
        <v>46273</v>
      </c>
      <c r="S13" s="76">
        <f t="shared" ca="1" si="9"/>
        <v>-251</v>
      </c>
      <c r="T13" s="64">
        <f t="shared" ca="1" si="2"/>
        <v>1</v>
      </c>
      <c r="U13" s="106">
        <f t="shared" ca="1" si="3"/>
        <v>1</v>
      </c>
      <c r="V13" s="68"/>
      <c r="W13" s="68"/>
      <c r="X13" s="94" t="str">
        <f t="shared" ca="1" si="4"/>
        <v>Si</v>
      </c>
      <c r="Y13" s="94" t="str">
        <f t="shared" ca="1" si="5"/>
        <v>Si</v>
      </c>
      <c r="Z13" s="94" t="str">
        <f t="shared" ca="1" si="6"/>
        <v>Si</v>
      </c>
    </row>
    <row r="14" spans="2:26" ht="25.5">
      <c r="B14" s="48" t="s">
        <v>62</v>
      </c>
      <c r="C14" s="49">
        <v>1</v>
      </c>
      <c r="D14" s="50" t="s">
        <v>99</v>
      </c>
      <c r="E14" s="51">
        <v>0.04</v>
      </c>
      <c r="F14" s="52" t="s">
        <v>100</v>
      </c>
      <c r="G14" s="53">
        <v>1</v>
      </c>
      <c r="H14" s="54" t="s">
        <v>101</v>
      </c>
      <c r="I14" s="55">
        <v>46387</v>
      </c>
      <c r="J14" s="55"/>
      <c r="K14" s="57">
        <f>I14-J14</f>
        <v>46387</v>
      </c>
      <c r="L14" s="58">
        <f t="shared" si="1"/>
        <v>0</v>
      </c>
      <c r="M14" s="59" t="s">
        <v>100</v>
      </c>
      <c r="N14" s="60"/>
      <c r="O14" s="61">
        <f>(G14*L14)</f>
        <v>0</v>
      </c>
      <c r="P14" s="66"/>
      <c r="Q14" s="67"/>
      <c r="R14" s="63">
        <f t="shared" ca="1" si="8"/>
        <v>46273</v>
      </c>
      <c r="S14" s="76">
        <f ca="1">I14-R14</f>
        <v>114</v>
      </c>
      <c r="T14" s="64">
        <f t="shared" ca="1" si="2"/>
        <v>0</v>
      </c>
      <c r="U14" s="106">
        <f ca="1">(G14*T14)</f>
        <v>0</v>
      </c>
      <c r="V14" s="68"/>
      <c r="W14" s="68"/>
      <c r="X14" s="94" t="str">
        <f t="shared" ca="1" si="4"/>
        <v>No</v>
      </c>
      <c r="Y14" s="94" t="str">
        <f t="shared" ca="1" si="5"/>
        <v/>
      </c>
      <c r="Z14" s="94" t="str">
        <f t="shared" ca="1" si="6"/>
        <v/>
      </c>
    </row>
    <row r="15" spans="2:26" ht="25.5">
      <c r="B15" s="48" t="s">
        <v>62</v>
      </c>
      <c r="C15" s="49">
        <v>1</v>
      </c>
      <c r="D15" s="50" t="s">
        <v>102</v>
      </c>
      <c r="E15" s="51">
        <v>0.04</v>
      </c>
      <c r="F15" s="52" t="s">
        <v>103</v>
      </c>
      <c r="G15" s="53">
        <v>1</v>
      </c>
      <c r="H15" s="54" t="s">
        <v>104</v>
      </c>
      <c r="I15" s="71">
        <v>46022</v>
      </c>
      <c r="J15" s="72">
        <v>46013</v>
      </c>
      <c r="K15" s="57">
        <f>I15-J15</f>
        <v>9</v>
      </c>
      <c r="L15" s="58">
        <f t="shared" si="1"/>
        <v>1</v>
      </c>
      <c r="M15" s="59" t="s">
        <v>103</v>
      </c>
      <c r="N15" s="60"/>
      <c r="O15" s="61">
        <f t="shared" si="7"/>
        <v>1</v>
      </c>
      <c r="P15" s="66"/>
      <c r="Q15" s="73"/>
      <c r="R15" s="74">
        <f t="shared" ca="1" si="8"/>
        <v>46273</v>
      </c>
      <c r="S15" s="76">
        <f t="shared" ca="1" si="9"/>
        <v>-251</v>
      </c>
      <c r="T15" s="64">
        <f t="shared" ca="1" si="2"/>
        <v>1</v>
      </c>
      <c r="U15" s="106">
        <f t="shared" ca="1" si="3"/>
        <v>1</v>
      </c>
      <c r="V15" s="68"/>
      <c r="W15" s="75"/>
      <c r="X15" s="94" t="str">
        <f t="shared" ca="1" si="4"/>
        <v>Si</v>
      </c>
      <c r="Y15" s="94" t="str">
        <f t="shared" ca="1" si="5"/>
        <v>Si</v>
      </c>
      <c r="Z15" s="94" t="str">
        <f t="shared" ca="1" si="6"/>
        <v>Si</v>
      </c>
    </row>
    <row r="16" spans="2:26" ht="25.5">
      <c r="B16" s="48" t="s">
        <v>62</v>
      </c>
      <c r="C16" s="49">
        <v>1</v>
      </c>
      <c r="D16" s="50" t="s">
        <v>105</v>
      </c>
      <c r="E16" s="51">
        <v>0.04</v>
      </c>
      <c r="F16" s="52" t="s">
        <v>106</v>
      </c>
      <c r="G16" s="53">
        <v>1</v>
      </c>
      <c r="H16" s="54" t="s">
        <v>107</v>
      </c>
      <c r="I16" s="71">
        <v>46022</v>
      </c>
      <c r="J16" s="104">
        <v>46022</v>
      </c>
      <c r="K16" s="57">
        <f>I16-J16</f>
        <v>0</v>
      </c>
      <c r="L16" s="58">
        <f t="shared" si="1"/>
        <v>1</v>
      </c>
      <c r="M16" s="59" t="s">
        <v>106</v>
      </c>
      <c r="N16" s="60"/>
      <c r="O16" s="61">
        <f t="shared" si="7"/>
        <v>1</v>
      </c>
      <c r="P16" s="66"/>
      <c r="Q16" s="73"/>
      <c r="R16" s="74">
        <f t="shared" ca="1" si="8"/>
        <v>46273</v>
      </c>
      <c r="S16" s="76">
        <f t="shared" ca="1" si="9"/>
        <v>-251</v>
      </c>
      <c r="T16" s="64">
        <f t="shared" ca="1" si="2"/>
        <v>1</v>
      </c>
      <c r="U16" s="106">
        <f t="shared" ca="1" si="3"/>
        <v>1</v>
      </c>
      <c r="V16" s="68"/>
      <c r="W16" s="75"/>
      <c r="X16" s="94" t="str">
        <f t="shared" ca="1" si="4"/>
        <v>Si</v>
      </c>
      <c r="Y16" s="94" t="str">
        <f t="shared" ca="1" si="5"/>
        <v>Si</v>
      </c>
      <c r="Z16" s="94" t="str">
        <f t="shared" ca="1" si="6"/>
        <v>Si</v>
      </c>
    </row>
    <row r="17" spans="2:26">
      <c r="B17" s="48" t="s">
        <v>62</v>
      </c>
      <c r="C17" s="49">
        <v>1</v>
      </c>
      <c r="D17" s="50" t="s">
        <v>108</v>
      </c>
      <c r="E17" s="51">
        <v>0.04</v>
      </c>
      <c r="F17" s="52" t="s">
        <v>109</v>
      </c>
      <c r="G17" s="53">
        <v>1</v>
      </c>
      <c r="H17" s="54" t="s">
        <v>110</v>
      </c>
      <c r="I17" s="55">
        <v>46387</v>
      </c>
      <c r="J17" s="55"/>
      <c r="K17" s="57">
        <f t="shared" si="0"/>
        <v>46387</v>
      </c>
      <c r="L17" s="58">
        <f t="shared" si="1"/>
        <v>0</v>
      </c>
      <c r="M17" s="59" t="s">
        <v>109</v>
      </c>
      <c r="N17" s="60"/>
      <c r="O17" s="61">
        <f t="shared" si="7"/>
        <v>0</v>
      </c>
      <c r="P17" s="66"/>
      <c r="Q17" s="73"/>
      <c r="R17" s="74">
        <f t="shared" ca="1" si="8"/>
        <v>46273</v>
      </c>
      <c r="S17" s="76">
        <f t="shared" ca="1" si="9"/>
        <v>114</v>
      </c>
      <c r="T17" s="64">
        <f t="shared" ca="1" si="2"/>
        <v>0</v>
      </c>
      <c r="U17" s="106">
        <f t="shared" ca="1" si="3"/>
        <v>0</v>
      </c>
      <c r="V17" s="68"/>
      <c r="W17" s="75"/>
      <c r="X17" s="94" t="str">
        <f t="shared" ca="1" si="4"/>
        <v>No</v>
      </c>
      <c r="Y17" s="94" t="str">
        <f t="shared" ca="1" si="5"/>
        <v/>
      </c>
      <c r="Z17" s="94" t="str">
        <f t="shared" ca="1" si="6"/>
        <v/>
      </c>
    </row>
    <row r="18" spans="2:26" ht="25.5">
      <c r="B18" s="48" t="s">
        <v>62</v>
      </c>
      <c r="C18" s="49">
        <v>1</v>
      </c>
      <c r="D18" s="50" t="s">
        <v>111</v>
      </c>
      <c r="E18" s="51">
        <v>0.04</v>
      </c>
      <c r="F18" s="69" t="s">
        <v>112</v>
      </c>
      <c r="G18" s="53">
        <v>1</v>
      </c>
      <c r="H18" s="54" t="s">
        <v>113</v>
      </c>
      <c r="I18" s="55">
        <v>46752</v>
      </c>
      <c r="J18" s="55"/>
      <c r="K18" s="57">
        <f>I18-J18</f>
        <v>46752</v>
      </c>
      <c r="L18" s="58">
        <f t="shared" si="1"/>
        <v>0</v>
      </c>
      <c r="M18" s="59" t="s">
        <v>112</v>
      </c>
      <c r="N18" s="60"/>
      <c r="O18" s="61">
        <f>(G18*L18)</f>
        <v>0</v>
      </c>
      <c r="P18" s="66"/>
      <c r="Q18" s="73"/>
      <c r="R18" s="74">
        <f t="shared" ca="1" si="8"/>
        <v>46273</v>
      </c>
      <c r="S18" s="76">
        <f t="shared" ca="1" si="9"/>
        <v>479</v>
      </c>
      <c r="T18" s="64">
        <f t="shared" ca="1" si="2"/>
        <v>0</v>
      </c>
      <c r="U18" s="106">
        <f t="shared" ca="1" si="3"/>
        <v>0</v>
      </c>
      <c r="V18" s="68"/>
      <c r="W18" s="75"/>
      <c r="X18" s="94" t="str">
        <f t="shared" ca="1" si="4"/>
        <v>No</v>
      </c>
      <c r="Y18" s="94" t="str">
        <f t="shared" ca="1" si="5"/>
        <v/>
      </c>
      <c r="Z18" s="94" t="str">
        <f t="shared" ca="1" si="6"/>
        <v/>
      </c>
    </row>
    <row r="19" spans="2:26" ht="25.5">
      <c r="B19" s="48" t="s">
        <v>62</v>
      </c>
      <c r="C19" s="49">
        <v>1</v>
      </c>
      <c r="D19" s="50" t="s">
        <v>114</v>
      </c>
      <c r="E19" s="51">
        <v>0.04</v>
      </c>
      <c r="F19" s="69" t="s">
        <v>115</v>
      </c>
      <c r="G19" s="53">
        <v>1</v>
      </c>
      <c r="H19" s="54" t="s">
        <v>116</v>
      </c>
      <c r="I19" s="55">
        <v>46387</v>
      </c>
      <c r="J19" s="55"/>
      <c r="K19" s="57">
        <f t="shared" si="0"/>
        <v>46387</v>
      </c>
      <c r="L19" s="58">
        <f t="shared" si="1"/>
        <v>0</v>
      </c>
      <c r="M19" s="59" t="s">
        <v>115</v>
      </c>
      <c r="N19" s="60"/>
      <c r="O19" s="61">
        <f>(G19*L19)</f>
        <v>0</v>
      </c>
      <c r="P19" s="66"/>
      <c r="Q19" s="73"/>
      <c r="R19" s="74">
        <f t="shared" ca="1" si="8"/>
        <v>46273</v>
      </c>
      <c r="S19" s="76">
        <f t="shared" ca="1" si="9"/>
        <v>114</v>
      </c>
      <c r="T19" s="64">
        <f t="shared" ca="1" si="2"/>
        <v>0</v>
      </c>
      <c r="U19" s="106">
        <f t="shared" ca="1" si="3"/>
        <v>0</v>
      </c>
      <c r="V19" s="68"/>
      <c r="W19" s="75"/>
      <c r="X19" s="94" t="str">
        <f t="shared" ca="1" si="4"/>
        <v>No</v>
      </c>
      <c r="Y19" s="94" t="str">
        <f t="shared" ca="1" si="5"/>
        <v/>
      </c>
      <c r="Z19" s="94" t="str">
        <f t="shared" ca="1" si="6"/>
        <v/>
      </c>
    </row>
    <row r="20" spans="2:26" ht="25.5">
      <c r="B20" s="48" t="s">
        <v>62</v>
      </c>
      <c r="C20" s="49">
        <v>1</v>
      </c>
      <c r="D20" s="50" t="s">
        <v>117</v>
      </c>
      <c r="E20" s="51">
        <v>0.04</v>
      </c>
      <c r="F20" s="69" t="s">
        <v>118</v>
      </c>
      <c r="G20" s="53">
        <v>1</v>
      </c>
      <c r="H20" s="54" t="s">
        <v>119</v>
      </c>
      <c r="I20" s="55">
        <v>46387</v>
      </c>
      <c r="J20" s="55"/>
      <c r="K20" s="57">
        <f t="shared" si="0"/>
        <v>46387</v>
      </c>
      <c r="L20" s="58">
        <f t="shared" si="1"/>
        <v>0</v>
      </c>
      <c r="M20" s="59" t="s">
        <v>118</v>
      </c>
      <c r="N20" s="60"/>
      <c r="O20" s="61">
        <f t="shared" si="7"/>
        <v>0</v>
      </c>
      <c r="P20" s="66"/>
      <c r="Q20" s="73"/>
      <c r="R20" s="74">
        <f t="shared" ca="1" si="8"/>
        <v>46273</v>
      </c>
      <c r="S20" s="76">
        <f t="shared" ca="1" si="9"/>
        <v>114</v>
      </c>
      <c r="T20" s="64">
        <f t="shared" ca="1" si="2"/>
        <v>0</v>
      </c>
      <c r="U20" s="106">
        <f t="shared" ca="1" si="3"/>
        <v>0</v>
      </c>
      <c r="V20" s="68"/>
      <c r="W20" s="75"/>
      <c r="X20" s="94" t="str">
        <f t="shared" ca="1" si="4"/>
        <v>No</v>
      </c>
      <c r="Y20" s="94" t="str">
        <f t="shared" ca="1" si="5"/>
        <v/>
      </c>
      <c r="Z20" s="94" t="str">
        <f t="shared" ca="1" si="6"/>
        <v/>
      </c>
    </row>
    <row r="21" spans="2:26">
      <c r="B21" s="48" t="s">
        <v>62</v>
      </c>
      <c r="C21" s="49">
        <v>1</v>
      </c>
      <c r="D21" s="50" t="s">
        <v>120</v>
      </c>
      <c r="E21" s="51">
        <v>0.04</v>
      </c>
      <c r="F21" s="52" t="s">
        <v>121</v>
      </c>
      <c r="G21" s="53">
        <v>1</v>
      </c>
      <c r="H21" s="54" t="s">
        <v>122</v>
      </c>
      <c r="I21" s="55">
        <v>46752</v>
      </c>
      <c r="J21" s="55"/>
      <c r="K21" s="57">
        <f t="shared" si="0"/>
        <v>46752</v>
      </c>
      <c r="L21" s="58">
        <f t="shared" si="1"/>
        <v>0</v>
      </c>
      <c r="M21" s="59" t="s">
        <v>121</v>
      </c>
      <c r="N21" s="60"/>
      <c r="O21" s="61">
        <f t="shared" si="7"/>
        <v>0</v>
      </c>
      <c r="P21" s="66"/>
      <c r="Q21" s="73"/>
      <c r="R21" s="74">
        <f t="shared" ca="1" si="8"/>
        <v>46273</v>
      </c>
      <c r="S21" s="76">
        <f t="shared" ca="1" si="9"/>
        <v>479</v>
      </c>
      <c r="T21" s="64">
        <f t="shared" ca="1" si="2"/>
        <v>0</v>
      </c>
      <c r="U21" s="106">
        <f t="shared" ca="1" si="3"/>
        <v>0</v>
      </c>
      <c r="V21" s="68"/>
      <c r="W21" s="75"/>
      <c r="X21" s="94" t="str">
        <f t="shared" ca="1" si="4"/>
        <v>No</v>
      </c>
      <c r="Y21" s="94" t="str">
        <f t="shared" ca="1" si="5"/>
        <v/>
      </c>
      <c r="Z21" s="94" t="str">
        <f t="shared" ca="1" si="6"/>
        <v/>
      </c>
    </row>
    <row r="22" spans="2:26" ht="25.5">
      <c r="B22" s="48" t="s">
        <v>62</v>
      </c>
      <c r="C22" s="49">
        <v>1</v>
      </c>
      <c r="D22" s="50" t="s">
        <v>123</v>
      </c>
      <c r="E22" s="51">
        <v>0.04</v>
      </c>
      <c r="F22" s="52" t="s">
        <v>124</v>
      </c>
      <c r="G22" s="53">
        <v>1</v>
      </c>
      <c r="H22" s="54" t="s">
        <v>125</v>
      </c>
      <c r="I22" s="55">
        <v>47118</v>
      </c>
      <c r="J22" s="55"/>
      <c r="K22" s="57">
        <f t="shared" si="0"/>
        <v>47118</v>
      </c>
      <c r="L22" s="58">
        <f t="shared" si="1"/>
        <v>0</v>
      </c>
      <c r="M22" s="59" t="s">
        <v>124</v>
      </c>
      <c r="N22" s="60"/>
      <c r="O22" s="61">
        <f t="shared" si="7"/>
        <v>0</v>
      </c>
      <c r="P22" s="66"/>
      <c r="Q22" s="73"/>
      <c r="R22" s="74">
        <f t="shared" ca="1" si="8"/>
        <v>46273</v>
      </c>
      <c r="S22" s="76">
        <f t="shared" ca="1" si="9"/>
        <v>845</v>
      </c>
      <c r="T22" s="64">
        <f t="shared" ca="1" si="2"/>
        <v>0</v>
      </c>
      <c r="U22" s="106">
        <f t="shared" ca="1" si="3"/>
        <v>0</v>
      </c>
      <c r="V22" s="68"/>
      <c r="W22" s="75"/>
      <c r="X22" s="94" t="str">
        <f t="shared" ca="1" si="4"/>
        <v>No</v>
      </c>
      <c r="Y22" s="94" t="str">
        <f t="shared" ca="1" si="5"/>
        <v/>
      </c>
      <c r="Z22" s="94" t="str">
        <f t="shared" ca="1" si="6"/>
        <v/>
      </c>
    </row>
    <row r="23" spans="2:26" ht="25.5">
      <c r="B23" s="48" t="s">
        <v>62</v>
      </c>
      <c r="C23" s="49">
        <v>1</v>
      </c>
      <c r="D23" s="77" t="s">
        <v>126</v>
      </c>
      <c r="E23" s="78">
        <v>0.04</v>
      </c>
      <c r="F23" s="79" t="s">
        <v>127</v>
      </c>
      <c r="G23" s="80">
        <v>1</v>
      </c>
      <c r="H23" s="81" t="s">
        <v>128</v>
      </c>
      <c r="I23" s="55">
        <v>46752</v>
      </c>
      <c r="J23" s="55"/>
      <c r="K23" s="57">
        <f t="shared" si="0"/>
        <v>46752</v>
      </c>
      <c r="L23" s="58">
        <f t="shared" si="1"/>
        <v>0</v>
      </c>
      <c r="M23" s="59" t="s">
        <v>127</v>
      </c>
      <c r="N23" s="82"/>
      <c r="O23" s="61">
        <f t="shared" si="7"/>
        <v>0</v>
      </c>
      <c r="P23" s="66"/>
      <c r="Q23" s="83"/>
      <c r="R23" s="84">
        <f t="shared" ca="1" si="8"/>
        <v>46273</v>
      </c>
      <c r="S23" s="85">
        <f t="shared" ca="1" si="9"/>
        <v>479</v>
      </c>
      <c r="T23" s="64">
        <f t="shared" ca="1" si="2"/>
        <v>0</v>
      </c>
      <c r="U23" s="106">
        <f t="shared" ca="1" si="3"/>
        <v>0</v>
      </c>
      <c r="V23" s="68"/>
      <c r="W23" s="75"/>
      <c r="X23" s="94" t="str">
        <f t="shared" ca="1" si="4"/>
        <v>No</v>
      </c>
      <c r="Y23" s="94" t="str">
        <f t="shared" ca="1" si="5"/>
        <v/>
      </c>
      <c r="Z23" s="94" t="str">
        <f t="shared" ca="1" si="6"/>
        <v/>
      </c>
    </row>
    <row r="24" spans="2:26" ht="25.5">
      <c r="B24" s="86" t="s">
        <v>62</v>
      </c>
      <c r="C24" s="87">
        <v>1</v>
      </c>
      <c r="D24" s="50" t="s">
        <v>129</v>
      </c>
      <c r="E24" s="51">
        <v>0.04</v>
      </c>
      <c r="F24" s="69" t="s">
        <v>130</v>
      </c>
      <c r="G24" s="88">
        <v>1</v>
      </c>
      <c r="H24" s="54" t="s">
        <v>131</v>
      </c>
      <c r="I24" s="55">
        <v>46752</v>
      </c>
      <c r="J24" s="55"/>
      <c r="K24" s="57">
        <f t="shared" si="0"/>
        <v>46752</v>
      </c>
      <c r="L24" s="58">
        <f t="shared" si="1"/>
        <v>0</v>
      </c>
      <c r="M24" s="59" t="s">
        <v>130</v>
      </c>
      <c r="N24" s="60"/>
      <c r="O24" s="89">
        <f t="shared" si="7"/>
        <v>0</v>
      </c>
      <c r="P24" s="66"/>
      <c r="Q24" s="66"/>
      <c r="R24" s="90">
        <f t="shared" ca="1" si="8"/>
        <v>46273</v>
      </c>
      <c r="S24" s="105">
        <f t="shared" ca="1" si="9"/>
        <v>479</v>
      </c>
      <c r="T24" s="64">
        <f t="shared" ca="1" si="2"/>
        <v>0</v>
      </c>
      <c r="U24" s="106">
        <f t="shared" ca="1" si="3"/>
        <v>0</v>
      </c>
      <c r="V24" s="68"/>
      <c r="W24" s="91"/>
      <c r="X24" s="94" t="str">
        <f t="shared" ca="1" si="4"/>
        <v>No</v>
      </c>
      <c r="Y24" s="94" t="str">
        <f t="shared" ca="1" si="5"/>
        <v/>
      </c>
      <c r="Z24" s="94" t="str">
        <f t="shared" ca="1" si="6"/>
        <v/>
      </c>
    </row>
    <row r="25" spans="2:26">
      <c r="Y25" s="95">
        <f ca="1">COUNTIFS(Y5:Y24,"Si",X5:X24,"Si") / COUNTIF(X5:X24,"Si")</f>
        <v>1</v>
      </c>
      <c r="Z25" s="102">
        <f ca="1">COUNTIFS(Z5:Z24,"Si",Y5:Y24,"Si") / COUNTIF(Y5:Y24,"Si")</f>
        <v>1</v>
      </c>
    </row>
    <row r="27" spans="2:26">
      <c r="X27" s="107" t="s">
        <v>132</v>
      </c>
      <c r="Y27" s="108"/>
      <c r="Z27" s="108"/>
    </row>
    <row r="28" spans="2:26" ht="30">
      <c r="X28" s="96" t="s">
        <v>133</v>
      </c>
      <c r="Y28" s="97">
        <f ca="1">R5</f>
        <v>46273</v>
      </c>
      <c r="Z28" s="98" t="s">
        <v>134</v>
      </c>
    </row>
    <row r="29" spans="2:26" ht="45">
      <c r="X29" s="96" t="s">
        <v>135</v>
      </c>
      <c r="Y29" s="98">
        <f ca="1">COUNTIFS(I:I,"&lt;="&amp;Y28,I:I,"&lt;&gt;")</f>
        <v>11</v>
      </c>
      <c r="Z29" s="98" t="s">
        <v>136</v>
      </c>
    </row>
    <row r="30" spans="2:26" ht="30">
      <c r="X30" s="96" t="s">
        <v>137</v>
      </c>
      <c r="Y30" s="98">
        <f ca="1">COUNTIFS(J:J,"&lt;="&amp;Y28,J:J,"&lt;&gt;",L:L,1)</f>
        <v>11</v>
      </c>
      <c r="Z30" s="98" t="s">
        <v>138</v>
      </c>
    </row>
    <row r="31" spans="2:26" ht="45">
      <c r="X31" s="96" t="s">
        <v>139</v>
      </c>
      <c r="Y31" s="98" cm="1">
        <f t="array" aca="1" ref="Y31" ca="1">SUMPRODUCT(--(J5:J24&lt;=Y28),--(I5:I24&lt;&gt;""),--(L5:L24=1),--(J5:J24&lt;&gt;""),--(J5:J24&lt;=I5:I24))</f>
        <v>11</v>
      </c>
      <c r="Z31" s="98" t="s">
        <v>140</v>
      </c>
    </row>
    <row r="32" spans="2:26" ht="30">
      <c r="X32" s="99" t="s">
        <v>39</v>
      </c>
      <c r="Y32" s="100">
        <f ca="1">MIN(1,IFERROR(Y30/Y29,0))</f>
        <v>1</v>
      </c>
      <c r="Z32" s="101" t="s">
        <v>141</v>
      </c>
    </row>
    <row r="33" spans="24:26" ht="30.75">
      <c r="X33" s="99" t="s">
        <v>40</v>
      </c>
      <c r="Y33" s="100">
        <f ca="1">MIN(1,IFERROR(Y31/Y29,0))</f>
        <v>1</v>
      </c>
      <c r="Z33" s="101" t="s">
        <v>142</v>
      </c>
    </row>
    <row r="34" spans="24:26" ht="45">
      <c r="X34" s="99" t="s">
        <v>143</v>
      </c>
      <c r="Y34" s="103">
        <f>COUNT(I5:I24)</f>
        <v>20</v>
      </c>
    </row>
  </sheetData>
  <mergeCells count="1">
    <mergeCell ref="X27:Z27"/>
  </mergeCells>
  <phoneticPr fontId="6" type="noConversion"/>
  <hyperlinks>
    <hyperlink ref="M5" r:id="rId1" xr:uid="{00000000-0004-0000-0100-000000000000}"/>
    <hyperlink ref="M6" r:id="rId2" xr:uid="{00000000-0004-0000-0100-000001000000}"/>
    <hyperlink ref="M7" r:id="rId3" xr:uid="{00000000-0004-0000-0100-000002000000}"/>
    <hyperlink ref="M8" r:id="rId4" xr:uid="{00000000-0004-0000-0100-000003000000}"/>
    <hyperlink ref="M9" r:id="rId5" xr:uid="{00000000-0004-0000-0100-000004000000}"/>
    <hyperlink ref="M10" r:id="rId6" xr:uid="{00000000-0004-0000-0100-000005000000}"/>
    <hyperlink ref="M11" r:id="rId7" xr:uid="{00000000-0004-0000-0100-000006000000}"/>
    <hyperlink ref="M12" r:id="rId8" xr:uid="{00000000-0004-0000-0100-000007000000}"/>
    <hyperlink ref="M13" r:id="rId9" xr:uid="{00000000-0004-0000-0100-000008000000}"/>
    <hyperlink ref="M14" r:id="rId10" xr:uid="{00000000-0004-0000-0100-000009000000}"/>
    <hyperlink ref="M15" r:id="rId11" xr:uid="{00000000-0004-0000-0100-00000A000000}"/>
    <hyperlink ref="M16" r:id="rId12" xr:uid="{00000000-0004-0000-0100-00000B000000}"/>
    <hyperlink ref="M17" r:id="rId13" xr:uid="{00000000-0004-0000-0100-00000C000000}"/>
    <hyperlink ref="M18" r:id="rId14" xr:uid="{00000000-0004-0000-0100-00000D000000}"/>
    <hyperlink ref="M19" r:id="rId15" xr:uid="{00000000-0004-0000-0100-00000E000000}"/>
    <hyperlink ref="M20" r:id="rId16" xr:uid="{00000000-0004-0000-0100-00000F000000}"/>
    <hyperlink ref="M21" r:id="rId17" xr:uid="{00000000-0004-0000-0100-000010000000}"/>
    <hyperlink ref="M22" r:id="rId18" xr:uid="{00000000-0004-0000-0100-000011000000}"/>
    <hyperlink ref="M23" r:id="rId19" xr:uid="{00000000-0004-0000-0100-000012000000}"/>
    <hyperlink ref="M24" r:id="rId20" xr:uid="{00000000-0004-0000-0100-000013000000}"/>
  </hyperlinks>
  <pageMargins left="0.25" right="0.25" top="0.75" bottom="0.75" header="0.3" footer="0.3"/>
  <pageSetup paperSize="3" orientation="landscape" r:id="rId2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C4:G31"/>
  <sheetViews>
    <sheetView topLeftCell="A13" workbookViewId="0">
      <selection activeCell="I19" sqref="I19"/>
    </sheetView>
  </sheetViews>
  <sheetFormatPr defaultColWidth="9.140625" defaultRowHeight="15"/>
  <cols>
    <col min="1" max="1" width="6" customWidth="1"/>
    <col min="2" max="2" width="5.140625" customWidth="1"/>
    <col min="3" max="3" width="27.85546875" bestFit="1" customWidth="1"/>
    <col min="4" max="7" width="15" bestFit="1" customWidth="1"/>
  </cols>
  <sheetData>
    <row r="4" spans="3:7">
      <c r="C4" s="5" t="s">
        <v>144</v>
      </c>
    </row>
    <row r="5" spans="3:7">
      <c r="C5" s="6"/>
    </row>
    <row r="6" spans="3:7">
      <c r="C6" s="7"/>
      <c r="D6" s="8" t="s">
        <v>145</v>
      </c>
      <c r="E6" s="8" t="s">
        <v>146</v>
      </c>
      <c r="F6" s="8" t="s">
        <v>147</v>
      </c>
      <c r="G6" s="8" t="s">
        <v>148</v>
      </c>
    </row>
    <row r="7" spans="3:7">
      <c r="C7" s="4"/>
      <c r="D7" s="9"/>
      <c r="E7" s="10"/>
      <c r="F7" s="10"/>
      <c r="G7" s="10"/>
    </row>
    <row r="8" spans="3:7">
      <c r="C8" s="11" t="s">
        <v>149</v>
      </c>
      <c r="D8" s="12">
        <f ca="1">AVANCE!W5</f>
        <v>0.64000000000000012</v>
      </c>
      <c r="E8" s="23">
        <f>AVANCE!Q5</f>
        <v>0.64000000000000012</v>
      </c>
      <c r="F8" s="23">
        <f ca="1">D8-E8</f>
        <v>0</v>
      </c>
      <c r="G8" s="13" t="str">
        <f ca="1">IF(F8&gt;0,"ATRASO","EN TIEMPO")</f>
        <v>EN TIEMPO</v>
      </c>
    </row>
    <row r="9" spans="3:7">
      <c r="C9" s="14"/>
      <c r="D9" s="15"/>
      <c r="E9" s="18"/>
      <c r="F9" s="23"/>
      <c r="G9" s="13"/>
    </row>
    <row r="10" spans="3:7">
      <c r="C10" s="16" t="s">
        <v>62</v>
      </c>
      <c r="D10" s="15">
        <f ca="1">AVANCE!V5</f>
        <v>0.64000000000000012</v>
      </c>
      <c r="E10" s="18">
        <f>AVANCE!P5</f>
        <v>0.64000000000000012</v>
      </c>
      <c r="F10" s="23">
        <f t="shared" ref="F10:F12" ca="1" si="0">D10-E10</f>
        <v>0</v>
      </c>
      <c r="G10" s="13" t="str">
        <f ca="1">IF(F10&gt;0,"ATRASO","EN TIEMPO")</f>
        <v>EN TIEMPO</v>
      </c>
    </row>
    <row r="11" spans="3:7">
      <c r="C11" s="21"/>
      <c r="D11" s="17"/>
      <c r="E11" s="18"/>
      <c r="F11" s="23"/>
      <c r="G11" s="13"/>
    </row>
    <row r="12" spans="3:7">
      <c r="C12" s="22" t="s">
        <v>150</v>
      </c>
      <c r="D12" s="18">
        <f ca="1">AVANCE!U5</f>
        <v>1</v>
      </c>
      <c r="E12" s="18">
        <f>AVANCE!O5</f>
        <v>1</v>
      </c>
      <c r="F12" s="23">
        <f t="shared" ca="1" si="0"/>
        <v>0</v>
      </c>
      <c r="G12" s="13" t="str">
        <f t="shared" ref="G12:G31" ca="1" si="1">IF(F12&gt;0,"ATRASO","EN TIEMPO")</f>
        <v>EN TIEMPO</v>
      </c>
    </row>
    <row r="13" spans="3:7">
      <c r="C13" s="19" t="s">
        <v>151</v>
      </c>
      <c r="D13" s="18">
        <f ca="1">AVANCE!U6</f>
        <v>1</v>
      </c>
      <c r="E13" s="18">
        <f>AVANCE!O6</f>
        <v>1</v>
      </c>
      <c r="F13" s="23">
        <f t="shared" ref="F13:F31" ca="1" si="2">D13-E13</f>
        <v>0</v>
      </c>
      <c r="G13" s="13" t="str">
        <f t="shared" ca="1" si="1"/>
        <v>EN TIEMPO</v>
      </c>
    </row>
    <row r="14" spans="3:7">
      <c r="C14" s="19" t="s">
        <v>152</v>
      </c>
      <c r="D14" s="18">
        <f ca="1">AVANCE!U7</f>
        <v>1</v>
      </c>
      <c r="E14" s="18">
        <f>AVANCE!O7</f>
        <v>1</v>
      </c>
      <c r="F14" s="23">
        <f t="shared" ca="1" si="2"/>
        <v>0</v>
      </c>
      <c r="G14" s="13" t="str">
        <f t="shared" ca="1" si="1"/>
        <v>EN TIEMPO</v>
      </c>
    </row>
    <row r="15" spans="3:7">
      <c r="C15" s="20" t="s">
        <v>153</v>
      </c>
      <c r="D15" s="18">
        <f ca="1">AVANCE!U8</f>
        <v>1</v>
      </c>
      <c r="E15" s="18">
        <f>AVANCE!O8</f>
        <v>1</v>
      </c>
      <c r="F15" s="23">
        <f t="shared" ca="1" si="2"/>
        <v>0</v>
      </c>
      <c r="G15" s="13" t="str">
        <f t="shared" ca="1" si="1"/>
        <v>EN TIEMPO</v>
      </c>
    </row>
    <row r="16" spans="3:7">
      <c r="C16" s="22" t="s">
        <v>154</v>
      </c>
      <c r="D16" s="18">
        <f ca="1">AVANCE!U9</f>
        <v>1</v>
      </c>
      <c r="E16" s="18">
        <f>AVANCE!O9</f>
        <v>1</v>
      </c>
      <c r="F16" s="23">
        <f t="shared" ca="1" si="2"/>
        <v>0</v>
      </c>
      <c r="G16" s="13" t="str">
        <f t="shared" ca="1" si="1"/>
        <v>EN TIEMPO</v>
      </c>
    </row>
    <row r="17" spans="3:7">
      <c r="C17" s="19" t="s">
        <v>155</v>
      </c>
      <c r="D17" s="18">
        <f ca="1">AVANCE!U10</f>
        <v>1</v>
      </c>
      <c r="E17" s="18">
        <f>AVANCE!O10</f>
        <v>1</v>
      </c>
      <c r="F17" s="23">
        <f t="shared" ca="1" si="2"/>
        <v>0</v>
      </c>
      <c r="G17" s="13" t="str">
        <f t="shared" ca="1" si="1"/>
        <v>EN TIEMPO</v>
      </c>
    </row>
    <row r="18" spans="3:7">
      <c r="C18" s="19" t="s">
        <v>156</v>
      </c>
      <c r="D18" s="18">
        <f ca="1">AVANCE!U11</f>
        <v>1</v>
      </c>
      <c r="E18" s="18">
        <f>AVANCE!O11</f>
        <v>1</v>
      </c>
      <c r="F18" s="23">
        <f t="shared" ca="1" si="2"/>
        <v>0</v>
      </c>
      <c r="G18" s="13" t="str">
        <f t="shared" ca="1" si="1"/>
        <v>EN TIEMPO</v>
      </c>
    </row>
    <row r="19" spans="3:7">
      <c r="C19" s="20" t="s">
        <v>157</v>
      </c>
      <c r="D19" s="18">
        <f ca="1">AVANCE!U12</f>
        <v>1</v>
      </c>
      <c r="E19" s="18">
        <f>AVANCE!O12</f>
        <v>1</v>
      </c>
      <c r="F19" s="23">
        <f t="shared" ca="1" si="2"/>
        <v>0</v>
      </c>
      <c r="G19" s="13" t="str">
        <f t="shared" ca="1" si="1"/>
        <v>EN TIEMPO</v>
      </c>
    </row>
    <row r="20" spans="3:7">
      <c r="C20" s="20" t="s">
        <v>158</v>
      </c>
      <c r="D20" s="18">
        <f ca="1">AVANCE!U13</f>
        <v>1</v>
      </c>
      <c r="E20" s="18">
        <f>AVANCE!O13</f>
        <v>1</v>
      </c>
      <c r="F20" s="23">
        <f t="shared" ca="1" si="2"/>
        <v>0</v>
      </c>
      <c r="G20" s="13" t="str">
        <f t="shared" ca="1" si="1"/>
        <v>EN TIEMPO</v>
      </c>
    </row>
    <row r="21" spans="3:7">
      <c r="C21" s="20" t="s">
        <v>99</v>
      </c>
      <c r="D21" s="18">
        <f ca="1">AVANCE!U14</f>
        <v>0</v>
      </c>
      <c r="E21" s="18">
        <f>AVANCE!O14</f>
        <v>0</v>
      </c>
      <c r="F21" s="23">
        <f ca="1">D21-E21</f>
        <v>0</v>
      </c>
      <c r="G21" s="13" t="str">
        <f t="shared" ca="1" si="1"/>
        <v>EN TIEMPO</v>
      </c>
    </row>
    <row r="22" spans="3:7">
      <c r="C22" s="20" t="s">
        <v>102</v>
      </c>
      <c r="D22" s="18">
        <f ca="1">AVANCE!U15</f>
        <v>1</v>
      </c>
      <c r="E22" s="18">
        <f>AVANCE!O15</f>
        <v>1</v>
      </c>
      <c r="F22" s="23">
        <f t="shared" ca="1" si="2"/>
        <v>0</v>
      </c>
      <c r="G22" s="13" t="str">
        <f t="shared" ca="1" si="1"/>
        <v>EN TIEMPO</v>
      </c>
    </row>
    <row r="23" spans="3:7">
      <c r="C23" s="20" t="s">
        <v>105</v>
      </c>
      <c r="D23" s="18">
        <f ca="1">AVANCE!U16</f>
        <v>1</v>
      </c>
      <c r="E23" s="18">
        <f>AVANCE!O16</f>
        <v>1</v>
      </c>
      <c r="F23" s="23">
        <f t="shared" ca="1" si="2"/>
        <v>0</v>
      </c>
      <c r="G23" s="13" t="str">
        <f t="shared" ca="1" si="1"/>
        <v>EN TIEMPO</v>
      </c>
    </row>
    <row r="24" spans="3:7">
      <c r="C24" s="20" t="s">
        <v>108</v>
      </c>
      <c r="D24" s="18">
        <f ca="1">AVANCE!U17</f>
        <v>0</v>
      </c>
      <c r="E24" s="18">
        <f>AVANCE!O17</f>
        <v>0</v>
      </c>
      <c r="F24" s="23">
        <f t="shared" ca="1" si="2"/>
        <v>0</v>
      </c>
      <c r="G24" s="13" t="str">
        <f t="shared" ca="1" si="1"/>
        <v>EN TIEMPO</v>
      </c>
    </row>
    <row r="25" spans="3:7">
      <c r="C25" s="20" t="s">
        <v>111</v>
      </c>
      <c r="D25" s="18">
        <f ca="1">AVANCE!U18</f>
        <v>0</v>
      </c>
      <c r="E25" s="18">
        <f>AVANCE!O18</f>
        <v>0</v>
      </c>
      <c r="F25" s="23">
        <f t="shared" ca="1" si="2"/>
        <v>0</v>
      </c>
      <c r="G25" s="13" t="str">
        <f t="shared" ca="1" si="1"/>
        <v>EN TIEMPO</v>
      </c>
    </row>
    <row r="26" spans="3:7">
      <c r="C26" s="20" t="s">
        <v>114</v>
      </c>
      <c r="D26" s="18">
        <f ca="1">AVANCE!U19</f>
        <v>0</v>
      </c>
      <c r="E26" s="18">
        <f>AVANCE!O19</f>
        <v>0</v>
      </c>
      <c r="F26" s="23">
        <f t="shared" ca="1" si="2"/>
        <v>0</v>
      </c>
      <c r="G26" s="13" t="str">
        <f t="shared" ca="1" si="1"/>
        <v>EN TIEMPO</v>
      </c>
    </row>
    <row r="27" spans="3:7">
      <c r="C27" s="20" t="s">
        <v>117</v>
      </c>
      <c r="D27" s="18">
        <f ca="1">AVANCE!U20</f>
        <v>0</v>
      </c>
      <c r="E27" s="18">
        <f>AVANCE!O20</f>
        <v>0</v>
      </c>
      <c r="F27" s="23">
        <f t="shared" ca="1" si="2"/>
        <v>0</v>
      </c>
      <c r="G27" s="13" t="str">
        <f t="shared" ca="1" si="1"/>
        <v>EN TIEMPO</v>
      </c>
    </row>
    <row r="28" spans="3:7">
      <c r="C28" s="20" t="s">
        <v>120</v>
      </c>
      <c r="D28" s="18">
        <f ca="1">AVANCE!U21</f>
        <v>0</v>
      </c>
      <c r="E28" s="18">
        <f>AVANCE!O21</f>
        <v>0</v>
      </c>
      <c r="F28" s="23">
        <f t="shared" ca="1" si="2"/>
        <v>0</v>
      </c>
      <c r="G28" s="13" t="str">
        <f t="shared" ca="1" si="1"/>
        <v>EN TIEMPO</v>
      </c>
    </row>
    <row r="29" spans="3:7">
      <c r="C29" s="20" t="s">
        <v>123</v>
      </c>
      <c r="D29" s="18">
        <f ca="1">AVANCE!U22</f>
        <v>0</v>
      </c>
      <c r="E29" s="18">
        <f>AVANCE!O22</f>
        <v>0</v>
      </c>
      <c r="F29" s="23">
        <f t="shared" ca="1" si="2"/>
        <v>0</v>
      </c>
      <c r="G29" s="13" t="str">
        <f t="shared" ca="1" si="1"/>
        <v>EN TIEMPO</v>
      </c>
    </row>
    <row r="30" spans="3:7">
      <c r="C30" s="20" t="s">
        <v>126</v>
      </c>
      <c r="D30" s="18">
        <f ca="1">AVANCE!U23</f>
        <v>0</v>
      </c>
      <c r="E30" s="18">
        <f>AVANCE!O23</f>
        <v>0</v>
      </c>
      <c r="F30" s="23">
        <f t="shared" ca="1" si="2"/>
        <v>0</v>
      </c>
      <c r="G30" s="13" t="str">
        <f t="shared" ca="1" si="1"/>
        <v>EN TIEMPO</v>
      </c>
    </row>
    <row r="31" spans="3:7">
      <c r="C31" s="20" t="s">
        <v>129</v>
      </c>
      <c r="D31" s="18">
        <f ca="1">AVANCE!U24</f>
        <v>0</v>
      </c>
      <c r="E31" s="18">
        <f>AVANCE!O24</f>
        <v>0</v>
      </c>
      <c r="F31" s="23">
        <f t="shared" ca="1" si="2"/>
        <v>0</v>
      </c>
      <c r="G31" s="13" t="str">
        <f t="shared" ca="1" si="1"/>
        <v>EN TIEMPO</v>
      </c>
    </row>
  </sheetData>
  <phoneticPr fontId="6" type="noConversion"/>
  <conditionalFormatting sqref="G8:G31">
    <cfRule type="containsText" dxfId="1" priority="1" operator="containsText" text="ATRASO">
      <formula>NOT(ISERROR(SEARCH("ATRASO",G8)))</formula>
    </cfRule>
    <cfRule type="containsText" dxfId="0" priority="2" operator="containsText" text="EN TIEMPO">
      <formula>NOT(ISERROR(SEARCH("EN TIEMPO",G8)))</formula>
    </cfRule>
  </conditionalFormatting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Guillermo Montenegro Motta</dc:creator>
  <cp:keywords/>
  <dc:description/>
  <cp:lastModifiedBy/>
  <cp:revision/>
  <dcterms:created xsi:type="dcterms:W3CDTF">2025-05-14T16:06:46Z</dcterms:created>
  <dcterms:modified xsi:type="dcterms:W3CDTF">2026-09-08T18:06:51Z</dcterms:modified>
  <cp:category/>
  <cp:contentStatus/>
</cp:coreProperties>
</file>