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cundinamarcatic-my.sharepoint.com/personal/luis_montenegro_cundinamarca_gov_co/Documents/2025 TIC/PROYECTOS TI/PETI/PETI 02/EXCEL/"/>
    </mc:Choice>
  </mc:AlternateContent>
  <xr:revisionPtr revIDLastSave="0" documentId="8_{EEE7E965-0BFF-45F4-A8F2-1FA5A072B6A2}" xr6:coauthVersionLast="47" xr6:coauthVersionMax="47" xr10:uidLastSave="{00000000-0000-0000-0000-000000000000}"/>
  <bookViews>
    <workbookView minimized="1" xWindow="1470" yWindow="615" windowWidth="12240" windowHeight="15330" firstSheet="1" activeTab="1" xr2:uid="{00000000-000D-0000-FFFF-FFFF00000000}"/>
  </bookViews>
  <sheets>
    <sheet name="DATOS" sheetId="1" r:id="rId1"/>
    <sheet name="AVANCE" sheetId="4" r:id="rId2"/>
    <sheet name="INFORME 1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" l="1"/>
  <c r="L7" i="4"/>
  <c r="L8" i="4"/>
  <c r="L9" i="4"/>
  <c r="L12" i="4"/>
  <c r="L5" i="4"/>
  <c r="L11" i="4"/>
  <c r="L10" i="4"/>
  <c r="O11" i="4"/>
  <c r="K9" i="4"/>
  <c r="K8" i="4"/>
  <c r="K7" i="4"/>
  <c r="K12" i="4"/>
  <c r="K6" i="4"/>
  <c r="K5" i="4"/>
  <c r="Y22" i="4"/>
  <c r="O7" i="4"/>
  <c r="O9" i="4"/>
  <c r="P9" i="4" l="1"/>
  <c r="K11" i="4"/>
  <c r="K10" i="4"/>
  <c r="R12" i="4"/>
  <c r="R11" i="4"/>
  <c r="R10" i="4"/>
  <c r="R9" i="4"/>
  <c r="R8" i="4"/>
  <c r="X8" i="4" s="1"/>
  <c r="R7" i="4"/>
  <c r="R6" i="4"/>
  <c r="R5" i="4"/>
  <c r="X5" i="4" s="1"/>
  <c r="S5" i="4" l="1"/>
  <c r="Y16" i="4"/>
  <c r="Y19" i="4" s="1" a="1"/>
  <c r="Y19" i="4" s="1"/>
  <c r="S6" i="4"/>
  <c r="T6" i="4" s="1"/>
  <c r="X6" i="4"/>
  <c r="S7" i="4"/>
  <c r="T7" i="4" s="1"/>
  <c r="X7" i="4"/>
  <c r="Z8" i="4"/>
  <c r="Y8" i="4"/>
  <c r="S9" i="4"/>
  <c r="T9" i="4" s="1"/>
  <c r="X9" i="4"/>
  <c r="S10" i="4"/>
  <c r="T10" i="4" s="1"/>
  <c r="X10" i="4"/>
  <c r="S11" i="4"/>
  <c r="T11" i="4" s="1"/>
  <c r="X11" i="4"/>
  <c r="S12" i="4"/>
  <c r="T12" i="4" s="1"/>
  <c r="X12" i="4"/>
  <c r="S8" i="4"/>
  <c r="T8" i="4" s="1"/>
  <c r="T5" i="4" l="1"/>
  <c r="O5" i="4"/>
  <c r="Y18" i="4"/>
  <c r="U11" i="4"/>
  <c r="C14" i="5" s="1"/>
  <c r="U5" i="4"/>
  <c r="U9" i="4"/>
  <c r="Z12" i="4"/>
  <c r="Y12" i="4"/>
  <c r="Z11" i="4"/>
  <c r="Y11" i="4"/>
  <c r="Z10" i="4"/>
  <c r="Y10" i="4"/>
  <c r="Z9" i="4"/>
  <c r="Y9" i="4"/>
  <c r="Z7" i="4"/>
  <c r="Y7" i="4"/>
  <c r="Z6" i="4"/>
  <c r="Y6" i="4"/>
  <c r="Z5" i="4"/>
  <c r="Y5" i="4"/>
  <c r="Y13" i="4" s="1"/>
  <c r="Y17" i="4"/>
  <c r="Y21" i="4" s="1"/>
  <c r="V9" i="4"/>
  <c r="C9" i="5" s="1"/>
  <c r="C13" i="5"/>
  <c r="U7" i="4"/>
  <c r="V5" i="4" s="1"/>
  <c r="D13" i="5"/>
  <c r="D12" i="5"/>
  <c r="P5" i="4" l="1"/>
  <c r="D11" i="5"/>
  <c r="Y20" i="4"/>
  <c r="Z13" i="4"/>
  <c r="C12" i="5"/>
  <c r="W5" i="4"/>
  <c r="D14" i="5"/>
  <c r="C8" i="5"/>
  <c r="C11" i="5"/>
  <c r="Q5" i="4" l="1"/>
  <c r="D8" i="5"/>
  <c r="D6" i="5"/>
  <c r="D9" i="5"/>
  <c r="C6" i="5"/>
  <c r="E6" i="5" s="1"/>
  <c r="F6" i="5" s="1"/>
  <c r="E11" i="5" l="1"/>
  <c r="F11" i="5" s="1"/>
  <c r="E13" i="5"/>
  <c r="F13" i="5" s="1"/>
  <c r="E12" i="5"/>
  <c r="F12" i="5" s="1"/>
  <c r="E8" i="5" l="1"/>
  <c r="F8" i="5" s="1"/>
  <c r="E14" i="5" l="1"/>
  <c r="F14" i="5" s="1"/>
  <c r="E9" i="5"/>
  <c r="F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<sst xmlns="http://schemas.openxmlformats.org/spreadsheetml/2006/main" count="138" uniqueCount="108">
  <si>
    <t>CODIGO PROYECTO</t>
  </si>
  <si>
    <t>P02</t>
  </si>
  <si>
    <t>NOMBRE DEL PROYECTO</t>
  </si>
  <si>
    <t>Actualización del sistema de información normativa del departamento de Cundinamarca.</t>
  </si>
  <si>
    <t>META</t>
  </si>
  <si>
    <t>Actualizar el sistema de información normativa del Departamento</t>
  </si>
  <si>
    <t>PATROCINADOR DEL PROYECTO</t>
  </si>
  <si>
    <t>GERMÁN ENRIQUE GÓMEZ GONZÁLEZ</t>
  </si>
  <si>
    <t>PATROCINADOR DEL PROYECTO EMAIL</t>
  </si>
  <si>
    <t>germanenrique.gomez@cundinamarca.gov.co</t>
  </si>
  <si>
    <t>DEPENDENCIA</t>
  </si>
  <si>
    <t>SECRETARÍA JURÍDICA</t>
  </si>
  <si>
    <t>DIRECTOR DE PROYECTO</t>
  </si>
  <si>
    <t>DIRECTOR DE PROYECTO EMAIL</t>
  </si>
  <si>
    <t>OBJETIVO GENERAL</t>
  </si>
  <si>
    <t xml:space="preserve">Implementar y poner en funcionamiento el portal jurídico CUNDILEX, como plataforma oficial del Departamento de Cundinamarca para la difusión y consulta de la normatividad departamental y sus análisis jurídicos, con el fin de garantizar a ciudadanos y funcionarios un acceso rápido, confiable y transparente a la información legal vigente del departamento. </t>
  </si>
  <si>
    <t>OBJETIVOS ESPECIFICOS</t>
  </si>
  <si>
    <t xml:space="preserve">Centralizar en una plataforma digital todas las normas departamentales (ordenanzas, decretos, resoluciones, entre otros) clasificadas por año y tipo, facilitando su búsqueda y consulta. 
Proveer una herramienta en línea de fácil uso para ciudadanos y funcionarios, que permita consultas por palabras clave, filtros por tipo de norma y año de expedición, entre otras funcionalidades de búsqueda avanzada. 
Publicar análisis, interpretaciones y conceptos jurídicos elaborados por la Secretaría Jurídica, que sirvan de guía y referencia para la correcta aplicación de las normas por parte de entidades públicas y ciudadanía en general. 
Promover la transparencia y el acceso a la información jurídica, cumpliendo con las disposiciones legales de publicidad de la información y fortaleciendo la cultura de la legalidad en Cundinamarca. 
Garantizar la actualización permanente del portal, de modo que incorpore oportunamente las nuevas normas que se expidan y refleje los cambios o derogatorias del marco jurídico departamental. </t>
  </si>
  <si>
    <t>FECHA INICIO DE PROYECTO</t>
  </si>
  <si>
    <t>FECHA FIN DE PROYECTO</t>
  </si>
  <si>
    <t>PRESUPUESTO ESTIMADO DEL PROYECTO</t>
  </si>
  <si>
    <t>ES PROYECTO PETI?</t>
  </si>
  <si>
    <t>SI</t>
  </si>
  <si>
    <t>ESTRATEGIA PETI A LA QUE PERTENECE</t>
  </si>
  <si>
    <t>ES PROYECTO DE TRANSFORMACIÓN DIGITAL?</t>
  </si>
  <si>
    <t>NO</t>
  </si>
  <si>
    <t>P02 CUNDILEX</t>
  </si>
  <si>
    <t>FASE</t>
  </si>
  <si>
    <t>HITO</t>
  </si>
  <si>
    <t>Entregable</t>
  </si>
  <si>
    <t>ENTREGA</t>
  </si>
  <si>
    <t xml:space="preserve">COMENTARIOS </t>
  </si>
  <si>
    <t>EJECUTADO</t>
  </si>
  <si>
    <t xml:space="preserve">ATRASO </t>
  </si>
  <si>
    <t xml:space="preserve"> </t>
  </si>
  <si>
    <t>PROG HOY</t>
  </si>
  <si>
    <t>EyE</t>
  </si>
  <si>
    <t>Eficacia</t>
  </si>
  <si>
    <t>Eficiencia</t>
  </si>
  <si>
    <t>FASES</t>
  </si>
  <si>
    <t>POND</t>
  </si>
  <si>
    <t>HITOS</t>
  </si>
  <si>
    <t>Ponderado</t>
  </si>
  <si>
    <t>ENTREGABLES</t>
  </si>
  <si>
    <t xml:space="preserve">NOMBRE </t>
  </si>
  <si>
    <t>FECHA LIM</t>
  </si>
  <si>
    <t>FECHA ENTREGA</t>
  </si>
  <si>
    <t>OK</t>
  </si>
  <si>
    <t>RUTA EVIDENCIAS</t>
  </si>
  <si>
    <t xml:space="preserve"> EVIDENCIAS</t>
  </si>
  <si>
    <t xml:space="preserve"> HITO</t>
  </si>
  <si>
    <t xml:space="preserve"> PYTO</t>
  </si>
  <si>
    <t>HOY</t>
  </si>
  <si>
    <t xml:space="preserve"> PROG</t>
  </si>
  <si>
    <t>VALIDA</t>
  </si>
  <si>
    <t>HITO PROG</t>
  </si>
  <si>
    <t>FASE PROG</t>
  </si>
  <si>
    <t>PYTO PROG</t>
  </si>
  <si>
    <t>Incluye?</t>
  </si>
  <si>
    <t>Calcula</t>
  </si>
  <si>
    <t>FASE 1</t>
  </si>
  <si>
    <t>HITO 1</t>
  </si>
  <si>
    <t>ENTREGABLE 1</t>
  </si>
  <si>
    <t xml:space="preserve">E01. Documento de Requerimientos y Especificaciones aprobado </t>
  </si>
  <si>
    <t>ENTREGABLE 01</t>
  </si>
  <si>
    <t>ENTREGABLE 2</t>
  </si>
  <si>
    <t xml:space="preserve">E02. Diseño de Arquitectura del Portal (documento y prototipo) </t>
  </si>
  <si>
    <t>ENTREGABLE02</t>
  </si>
  <si>
    <t>HITO 2</t>
  </si>
  <si>
    <t>ENTREGABLE 3</t>
  </si>
  <si>
    <t xml:space="preserve">E03. Plataforma CUNDILEX desarrollada (versión beta con datos de prueba) </t>
  </si>
  <si>
    <t>ENTREGABLE03</t>
  </si>
  <si>
    <t>ENTREGABLE 4</t>
  </si>
  <si>
    <t xml:space="preserve">E04. Informe de Pruebas y ajustes realizados (documento de resultados de QA) </t>
  </si>
  <si>
    <t>ENTREGABLE04</t>
  </si>
  <si>
    <t>FASE 2</t>
  </si>
  <si>
    <t>HITO 3</t>
  </si>
  <si>
    <t>ENTREGABLE 5</t>
  </si>
  <si>
    <t xml:space="preserve">E05. Portal CUNDILEX en producción (versión final operativa) </t>
  </si>
  <si>
    <t>ENTREGABLE05</t>
  </si>
  <si>
    <t>ENTREGABLE 6</t>
  </si>
  <si>
    <t xml:space="preserve">E06. Plan de Difusión y Capacitación ejecutado (registro de capacitaciones y comunicados) </t>
  </si>
  <si>
    <t>ENTREGABLE06</t>
  </si>
  <si>
    <t>HITO 4</t>
  </si>
  <si>
    <t>ENTREGABLE 7</t>
  </si>
  <si>
    <t xml:space="preserve">E07. Acta de Cierre de Proyecto firmada </t>
  </si>
  <si>
    <t>ENTREGABLE07</t>
  </si>
  <si>
    <t>ENTREGABLE 8</t>
  </si>
  <si>
    <t>E08. Informe Final del Proyecto (incluye lecciones aprendidas)</t>
  </si>
  <si>
    <t>ENTREGABLE08</t>
  </si>
  <si>
    <t>INDICADORES AL CORTE</t>
  </si>
  <si>
    <t>Fecha de corte</t>
  </si>
  <si>
    <t>Base del cálculo</t>
  </si>
  <si>
    <t>Programados al corte</t>
  </si>
  <si>
    <t>Entregables con fecha límite menor o igual a la fecha de corte</t>
  </si>
  <si>
    <t>Entregados al corte</t>
  </si>
  <si>
    <t>Programados al corte con OK = 1</t>
  </si>
  <si>
    <t>Entregados a tiempo</t>
  </si>
  <si>
    <t>Entregados al corte con fecha de entrega menor o igual a la fecha límite</t>
  </si>
  <si>
    <t>Entregados al corte / Programados al corte</t>
  </si>
  <si>
    <t>Entregados a tiempo / Entregados al corte</t>
  </si>
  <si>
    <t>total entregables</t>
  </si>
  <si>
    <t>AVANCES DEL PROYECTO P02</t>
  </si>
  <si>
    <t>PROG</t>
  </si>
  <si>
    <t>EJEC</t>
  </si>
  <si>
    <t>DIFERENCIA</t>
  </si>
  <si>
    <t>ESTADO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</si>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</sst>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_-&quot;$&quot;\ * #,##0.00_-;\-&quot;$&quot;\ * #,##0.00_-;_-&quot;$&quot;\ * &quot;-&quot;??_-;_-@_-"/>
    <numFmt numFmtId="165" formatCode="0.0%"/>
    <numFmt numFmtId="166" formatCode="0.0"/>
    <numFmt numFmtId="167" formatCode="yyyy\-mm\-dd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AE2D5"/>
        <bgColor indexed="64"/>
      </patternFill>
    </fill>
    <fill>
      <patternFill patternType="solid">
        <fgColor rgb="FFDBA7D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3" xfId="0" applyBorder="1"/>
    <xf numFmtId="0" fontId="6" fillId="18" borderId="0" xfId="0" applyFont="1" applyFill="1"/>
    <xf numFmtId="0" fontId="6" fillId="19" borderId="0" xfId="0" applyFont="1" applyFill="1"/>
    <xf numFmtId="0" fontId="0" fillId="0" borderId="10" xfId="0" applyBorder="1"/>
    <xf numFmtId="0" fontId="6" fillId="19" borderId="11" xfId="0" applyFont="1" applyFill="1" applyBorder="1"/>
    <xf numFmtId="0" fontId="6" fillId="19" borderId="3" xfId="0" applyFont="1" applyFill="1" applyBorder="1"/>
    <xf numFmtId="165" fontId="3" fillId="7" borderId="3" xfId="0" applyNumberFormat="1" applyFont="1" applyFill="1" applyBorder="1" applyAlignment="1">
      <alignment horizontal="left" vertical="center"/>
    </xf>
    <xf numFmtId="165" fontId="0" fillId="0" borderId="11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65" fontId="3" fillId="19" borderId="3" xfId="0" applyNumberFormat="1" applyFont="1" applyFill="1" applyBorder="1" applyAlignment="1">
      <alignment horizontal="left" vertical="center"/>
    </xf>
    <xf numFmtId="165" fontId="0" fillId="0" borderId="11" xfId="0" applyNumberFormat="1" applyBorder="1"/>
    <xf numFmtId="165" fontId="0" fillId="0" borderId="3" xfId="0" applyNumberFormat="1" applyBorder="1"/>
    <xf numFmtId="165" fontId="0" fillId="2" borderId="3" xfId="0" applyNumberFormat="1" applyFill="1" applyBorder="1" applyAlignment="1">
      <alignment horizontal="left" vertical="center"/>
    </xf>
    <xf numFmtId="9" fontId="0" fillId="0" borderId="11" xfId="0" applyNumberFormat="1" applyBorder="1"/>
    <xf numFmtId="9" fontId="0" fillId="0" borderId="3" xfId="0" applyNumberFormat="1" applyBorder="1"/>
    <xf numFmtId="165" fontId="0" fillId="19" borderId="12" xfId="0" applyNumberForma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9" fontId="0" fillId="0" borderId="10" xfId="0" applyNumberFormat="1" applyBorder="1"/>
    <xf numFmtId="165" fontId="0" fillId="0" borderId="10" xfId="0" applyNumberFormat="1" applyBorder="1"/>
    <xf numFmtId="0" fontId="6" fillId="20" borderId="3" xfId="0" applyFont="1" applyFill="1" applyBorder="1" applyAlignment="1">
      <alignment horizontal="center" vertical="center"/>
    </xf>
    <xf numFmtId="9" fontId="0" fillId="0" borderId="3" xfId="0" applyNumberFormat="1" applyBorder="1" applyAlignment="1">
      <alignment vertical="center"/>
    </xf>
    <xf numFmtId="165" fontId="0" fillId="16" borderId="3" xfId="0" applyNumberForma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9" fontId="0" fillId="0" borderId="1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3" applyBorder="1" applyAlignment="1">
      <alignment horizontal="left" vertical="center"/>
    </xf>
    <xf numFmtId="6" fontId="0" fillId="0" borderId="1" xfId="0" applyNumberFormat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12" borderId="16" xfId="1" applyNumberFormat="1" applyFont="1" applyFill="1" applyBorder="1" applyAlignment="1">
      <alignment horizontal="center" vertical="center"/>
    </xf>
    <xf numFmtId="165" fontId="6" fillId="12" borderId="17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10" fontId="6" fillId="22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9" fontId="6" fillId="8" borderId="2" xfId="1" applyFont="1" applyFill="1" applyBorder="1" applyAlignment="1">
      <alignment horizontal="center" vertical="center"/>
    </xf>
    <xf numFmtId="9" fontId="6" fillId="8" borderId="2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12" fillId="7" borderId="1" xfId="0" applyNumberFormat="1" applyFont="1" applyFill="1" applyBorder="1" applyAlignment="1">
      <alignment horizontal="center" vertical="center"/>
    </xf>
    <xf numFmtId="164" fontId="6" fillId="8" borderId="2" xfId="2" applyFont="1" applyFill="1" applyBorder="1" applyAlignment="1">
      <alignment horizontal="center" vertical="center"/>
    </xf>
    <xf numFmtId="165" fontId="6" fillId="13" borderId="1" xfId="1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5" fontId="6" fillId="13" borderId="2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164" fontId="6" fillId="5" borderId="2" xfId="2" applyFont="1" applyFill="1" applyBorder="1" applyAlignment="1">
      <alignment horizontal="center" vertical="center"/>
    </xf>
    <xf numFmtId="9" fontId="6" fillId="5" borderId="2" xfId="1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9" fontId="6" fillId="9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9" fontId="6" fillId="6" borderId="2" xfId="1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 vertical="center"/>
    </xf>
    <xf numFmtId="9" fontId="6" fillId="11" borderId="2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10" fontId="6" fillId="11" borderId="1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9" fontId="6" fillId="10" borderId="2" xfId="1" applyFont="1" applyFill="1" applyBorder="1" applyAlignment="1">
      <alignment horizontal="center" vertical="center"/>
    </xf>
    <xf numFmtId="9" fontId="6" fillId="10" borderId="2" xfId="0" applyNumberFormat="1" applyFont="1" applyFill="1" applyBorder="1" applyAlignment="1">
      <alignment horizontal="center" vertical="center"/>
    </xf>
    <xf numFmtId="9" fontId="6" fillId="12" borderId="2" xfId="0" applyNumberFormat="1" applyFont="1" applyFill="1" applyBorder="1" applyAlignment="1">
      <alignment horizontal="center" vertical="center"/>
    </xf>
    <xf numFmtId="10" fontId="6" fillId="12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19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15" fontId="6" fillId="23" borderId="1" xfId="0" applyNumberFormat="1" applyFont="1" applyFill="1" applyBorder="1" applyAlignment="1">
      <alignment horizontal="center" vertical="center"/>
    </xf>
    <xf numFmtId="9" fontId="6" fillId="2" borderId="2" xfId="0" applyNumberFormat="1" applyFont="1" applyFill="1" applyBorder="1" applyAlignment="1">
      <alignment horizontal="center" vertical="center"/>
    </xf>
    <xf numFmtId="9" fontId="6" fillId="2" borderId="12" xfId="0" applyNumberFormat="1" applyFont="1" applyFill="1" applyBorder="1" applyAlignment="1">
      <alignment horizontal="center" vertical="center"/>
    </xf>
    <xf numFmtId="9" fontId="6" fillId="2" borderId="15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</cellXfs>
  <cellStyles count="4">
    <cellStyle name="Hyperlink" xfId="3" xr:uid="{00000000-0005-0000-0000-000001000000}"/>
    <cellStyle name="Moneda" xfId="2" builtinId="4"/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A7D4"/>
      <color rgb="FFCAE2D5"/>
      <color rgb="FFF2B800"/>
      <color rgb="FFD13B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ermanenrique.gomez@cundinamarca.gov.co" TargetMode="External"/><Relationship Id="rId1" Type="http://schemas.openxmlformats.org/officeDocument/2006/relationships/hyperlink" Target="mailto:germanenrique.gomez@cundinamarca.gov.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f:/g/personal/luis_montenegro_cundinamarca_gov_co/EoGj0H4F9lREjVgnqT5L20UBDDvSk2aNRjU_QiVva14VyQ?e=bOSQRP" TargetMode="External"/><Relationship Id="rId3" Type="http://schemas.openxmlformats.org/officeDocument/2006/relationships/hyperlink" Target="../../../../../../../../:f:/g/personal/luis_montenegro_cundinamarca_gov_co/Es2cDOZ2qOpBkYQuAYb9vHsB6G2VbkJcxe99ztDDe9aH4A?e=n6D9Ea" TargetMode="External"/><Relationship Id="rId7" Type="http://schemas.openxmlformats.org/officeDocument/2006/relationships/hyperlink" Target="../../../../../../_layouts/15/onedrive.aspx?id=%2Fpersonal%2Fluis%5Fmontenegro%5Fcundinamarca%5Fgov%5Fco%2FDocuments%2F2025%20TIC%2FPROYECTOS%20TI%2FPETI%2FPETI%2002%2FENTREGABLES%2FENTREGABLE01&amp;CT=1754942840088&amp;OR=OWA%2DNT%2DMail&amp;CID=a2fd4996%2D6c3a%2Da11a%2D967a%2D4c491d1fe727&amp;e=5%3A14171ab0ce68404eb6bd28ed210ef3b4&amp;sharingv2=true&amp;fromShare=true&amp;at=9&amp;FolderCTID=0x012000AA291A4CFCB2B04FA6702E0C9D295BAB&amp;view=0" TargetMode="External"/><Relationship Id="rId2" Type="http://schemas.openxmlformats.org/officeDocument/2006/relationships/hyperlink" Target="../../../../../../../../:f:/g/personal/luis_montenegro_cundinamarca_gov_co/EvePvW-bpPhGiC2xY8uhNqEBxntrFkNiNEiqAhBYnqKxZg?e=AKUnBU" TargetMode="External"/><Relationship Id="rId1" Type="http://schemas.openxmlformats.org/officeDocument/2006/relationships/hyperlink" Target="../../../../../../../../:f:/g/personal/luis_montenegro_cundinamarca_gov_co/ErLDBcjuN0tBif2_ybb697IBKZB_gjHPRaap_RV9QIgMyg?e=qra4wB" TargetMode="External"/><Relationship Id="rId6" Type="http://schemas.openxmlformats.org/officeDocument/2006/relationships/hyperlink" Target="../../../../../../../../:f:/g/personal/luis_montenegro_cundinamarca_gov_co/Es4n0RxpBrxBmhG4-wqZKNwBrb8SLJ1eFSctlEZUgx53Rg?e=8zL1cb" TargetMode="External"/><Relationship Id="rId5" Type="http://schemas.openxmlformats.org/officeDocument/2006/relationships/hyperlink" Target="../../../../../../../../:f:/g/personal/luis_montenegro_cundinamarca_gov_co/EjidaNJPZxZHk8J_FyWYYeYBeiY1unzO6IiTTsVu3S7vSA?e=mLUm3X" TargetMode="External"/><Relationship Id="rId4" Type="http://schemas.openxmlformats.org/officeDocument/2006/relationships/hyperlink" Target="../../../../../../../../:f:/g/personal/luis_montenegro_cundinamarca_gov_co/EmnQs6iFtFdOlCJe9RrDFBgBaCvqcNlOtgcwklH4luquCA?e=Wal9ve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zoomScale="130" zoomScaleNormal="130" workbookViewId="0">
      <selection activeCell="C3" sqref="C3"/>
    </sheetView>
  </sheetViews>
  <sheetFormatPr defaultColWidth="11.42578125" defaultRowHeight="15"/>
  <cols>
    <col min="1" max="1" width="8" customWidth="1"/>
    <col min="2" max="2" width="42" style="31" bestFit="1" customWidth="1"/>
    <col min="3" max="3" width="44" style="31" customWidth="1"/>
  </cols>
  <sheetData>
    <row r="2" spans="2:3">
      <c r="B2" s="27" t="s">
        <v>0</v>
      </c>
      <c r="C2" s="27" t="s">
        <v>1</v>
      </c>
    </row>
    <row r="3" spans="2:3" ht="30">
      <c r="B3" s="27" t="s">
        <v>2</v>
      </c>
      <c r="C3" s="28" t="s">
        <v>3</v>
      </c>
    </row>
    <row r="4" spans="2:3" ht="30">
      <c r="B4" s="27" t="s">
        <v>4</v>
      </c>
      <c r="C4" s="28" t="s">
        <v>5</v>
      </c>
    </row>
    <row r="5" spans="2:3">
      <c r="B5" s="27" t="s">
        <v>6</v>
      </c>
      <c r="C5" s="27" t="s">
        <v>7</v>
      </c>
    </row>
    <row r="6" spans="2:3">
      <c r="B6" s="27" t="s">
        <v>8</v>
      </c>
      <c r="C6" s="32" t="s">
        <v>9</v>
      </c>
    </row>
    <row r="7" spans="2:3">
      <c r="B7" s="27" t="s">
        <v>10</v>
      </c>
      <c r="C7" s="27" t="s">
        <v>11</v>
      </c>
    </row>
    <row r="8" spans="2:3">
      <c r="B8" s="27" t="s">
        <v>12</v>
      </c>
      <c r="C8" s="27" t="s">
        <v>7</v>
      </c>
    </row>
    <row r="9" spans="2:3">
      <c r="B9" s="27" t="s">
        <v>13</v>
      </c>
      <c r="C9" s="32" t="s">
        <v>9</v>
      </c>
    </row>
    <row r="10" spans="2:3" ht="120">
      <c r="B10" s="27" t="s">
        <v>14</v>
      </c>
      <c r="C10" s="28" t="s">
        <v>15</v>
      </c>
    </row>
    <row r="11" spans="2:3" ht="409.5">
      <c r="B11" s="27" t="s">
        <v>16</v>
      </c>
      <c r="C11" s="29" t="s">
        <v>17</v>
      </c>
    </row>
    <row r="12" spans="2:3">
      <c r="B12" s="27" t="s">
        <v>18</v>
      </c>
      <c r="C12" s="27">
        <v>2025</v>
      </c>
    </row>
    <row r="13" spans="2:3">
      <c r="B13" s="27" t="s">
        <v>19</v>
      </c>
      <c r="C13" s="27">
        <v>2026</v>
      </c>
    </row>
    <row r="14" spans="2:3">
      <c r="B14" s="27" t="s">
        <v>20</v>
      </c>
      <c r="C14" s="33">
        <v>0</v>
      </c>
    </row>
    <row r="15" spans="2:3">
      <c r="B15" s="27" t="s">
        <v>21</v>
      </c>
      <c r="C15" s="27" t="s">
        <v>22</v>
      </c>
    </row>
    <row r="16" spans="2:3">
      <c r="B16" s="27" t="s">
        <v>23</v>
      </c>
      <c r="C16" s="27"/>
    </row>
    <row r="17" spans="2:3">
      <c r="B17" s="27" t="s">
        <v>24</v>
      </c>
      <c r="C17" s="30" t="s">
        <v>25</v>
      </c>
    </row>
  </sheetData>
  <hyperlinks>
    <hyperlink ref="C6" r:id="rId1" xr:uid="{B7B93AD8-EE17-440B-9DDD-4158597E43FD}"/>
    <hyperlink ref="C9" r:id="rId2" xr:uid="{86BCE15C-38B2-4761-8B0F-96499F7C23E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22"/>
  <sheetViews>
    <sheetView tabSelected="1" topLeftCell="H1" zoomScale="80" zoomScaleNormal="80" workbookViewId="0">
      <selection activeCell="R16" sqref="R16"/>
    </sheetView>
  </sheetViews>
  <sheetFormatPr defaultColWidth="11.42578125" defaultRowHeight="15"/>
  <cols>
    <col min="1" max="1" width="6" style="38" customWidth="1"/>
    <col min="2" max="2" width="12" style="38" bestFit="1" customWidth="1"/>
    <col min="3" max="3" width="10.28515625" style="38" customWidth="1"/>
    <col min="4" max="4" width="11.42578125" style="38"/>
    <col min="5" max="5" width="9.42578125" style="49" bestFit="1" customWidth="1"/>
    <col min="6" max="6" width="19.85546875" style="38" customWidth="1"/>
    <col min="7" max="7" width="9.42578125" style="38" bestFit="1" customWidth="1"/>
    <col min="8" max="8" width="45" style="38" customWidth="1"/>
    <col min="9" max="9" width="11.42578125" style="38"/>
    <col min="10" max="10" width="25.28515625" style="38" bestFit="1" customWidth="1"/>
    <col min="11" max="11" width="10.42578125" style="38" customWidth="1"/>
    <col min="12" max="12" width="10.85546875" style="38" bestFit="1" customWidth="1"/>
    <col min="13" max="13" width="18.7109375" style="38" customWidth="1"/>
    <col min="14" max="14" width="21.5703125" style="38" hidden="1" customWidth="1"/>
    <col min="15" max="17" width="11.42578125" style="38" bestFit="1" customWidth="1"/>
    <col min="18" max="18" width="11.42578125" style="38"/>
    <col min="19" max="19" width="6.85546875" style="38" bestFit="1" customWidth="1"/>
    <col min="20" max="20" width="11.42578125" style="38"/>
    <col min="21" max="23" width="10.42578125" style="38" bestFit="1" customWidth="1"/>
    <col min="24" max="24" width="11.42578125" style="38"/>
    <col min="25" max="25" width="16.42578125" style="38" customWidth="1"/>
    <col min="26" max="26" width="22.42578125" style="38" customWidth="1"/>
    <col min="27" max="16384" width="11.42578125" style="38"/>
  </cols>
  <sheetData>
    <row r="2" spans="2:26">
      <c r="B2" s="48" t="s">
        <v>26</v>
      </c>
    </row>
    <row r="3" spans="2:26" ht="20.25" customHeight="1">
      <c r="B3" s="50" t="s">
        <v>27</v>
      </c>
      <c r="C3" s="50" t="s">
        <v>27</v>
      </c>
      <c r="D3" s="50" t="s">
        <v>28</v>
      </c>
      <c r="E3" s="50" t="s">
        <v>28</v>
      </c>
      <c r="F3" s="50" t="s">
        <v>29</v>
      </c>
      <c r="G3" s="50" t="s">
        <v>29</v>
      </c>
      <c r="H3" s="50" t="s">
        <v>29</v>
      </c>
      <c r="I3" s="50" t="s">
        <v>29</v>
      </c>
      <c r="J3" s="50" t="s">
        <v>29</v>
      </c>
      <c r="K3" s="50" t="s">
        <v>29</v>
      </c>
      <c r="L3" s="50" t="s">
        <v>30</v>
      </c>
      <c r="M3" s="50" t="s">
        <v>29</v>
      </c>
      <c r="N3" s="50" t="s">
        <v>31</v>
      </c>
      <c r="O3" s="51" t="s">
        <v>32</v>
      </c>
      <c r="P3" s="51" t="s">
        <v>32</v>
      </c>
      <c r="Q3" s="51" t="s">
        <v>32</v>
      </c>
      <c r="R3" s="52"/>
      <c r="S3" s="46" t="s">
        <v>33</v>
      </c>
      <c r="T3" s="52" t="s">
        <v>34</v>
      </c>
      <c r="U3" s="51" t="s">
        <v>35</v>
      </c>
      <c r="V3" s="51" t="s">
        <v>35</v>
      </c>
      <c r="W3" s="51" t="s">
        <v>35</v>
      </c>
      <c r="X3" s="34" t="s">
        <v>36</v>
      </c>
      <c r="Y3" s="34" t="s">
        <v>37</v>
      </c>
      <c r="Z3" s="34" t="s">
        <v>38</v>
      </c>
    </row>
    <row r="4" spans="2:26">
      <c r="B4" s="53" t="s">
        <v>39</v>
      </c>
      <c r="C4" s="54" t="s">
        <v>40</v>
      </c>
      <c r="D4" s="54" t="s">
        <v>41</v>
      </c>
      <c r="E4" s="54" t="s">
        <v>42</v>
      </c>
      <c r="F4" s="55" t="s">
        <v>43</v>
      </c>
      <c r="G4" s="54" t="s">
        <v>42</v>
      </c>
      <c r="H4" s="54" t="s">
        <v>44</v>
      </c>
      <c r="I4" s="54" t="s">
        <v>45</v>
      </c>
      <c r="J4" s="50" t="s">
        <v>46</v>
      </c>
      <c r="K4" s="50" t="s">
        <v>33</v>
      </c>
      <c r="L4" s="50" t="s">
        <v>47</v>
      </c>
      <c r="M4" s="56" t="s">
        <v>48</v>
      </c>
      <c r="N4" s="50" t="s">
        <v>49</v>
      </c>
      <c r="O4" s="57" t="s">
        <v>50</v>
      </c>
      <c r="P4" s="57" t="s">
        <v>27</v>
      </c>
      <c r="Q4" s="57" t="s">
        <v>51</v>
      </c>
      <c r="R4" s="47" t="s">
        <v>52</v>
      </c>
      <c r="S4" s="47" t="s">
        <v>53</v>
      </c>
      <c r="T4" s="46" t="s">
        <v>54</v>
      </c>
      <c r="U4" s="47" t="s">
        <v>55</v>
      </c>
      <c r="V4" s="47" t="s">
        <v>56</v>
      </c>
      <c r="W4" s="47" t="s">
        <v>57</v>
      </c>
      <c r="X4" s="35" t="s">
        <v>58</v>
      </c>
      <c r="Y4" s="35" t="s">
        <v>59</v>
      </c>
      <c r="Z4" s="35" t="s">
        <v>59</v>
      </c>
    </row>
    <row r="5" spans="2:26" ht="30.75">
      <c r="B5" s="105" t="s">
        <v>60</v>
      </c>
      <c r="C5" s="102">
        <v>0.5</v>
      </c>
      <c r="D5" s="58" t="s">
        <v>61</v>
      </c>
      <c r="E5" s="59">
        <v>0.5</v>
      </c>
      <c r="F5" s="58" t="s">
        <v>62</v>
      </c>
      <c r="G5" s="60">
        <v>0.5</v>
      </c>
      <c r="H5" s="61" t="s">
        <v>63</v>
      </c>
      <c r="I5" s="62">
        <v>45945</v>
      </c>
      <c r="J5" s="45">
        <v>45944</v>
      </c>
      <c r="K5" s="63">
        <f>I5-J5</f>
        <v>1</v>
      </c>
      <c r="L5" s="64">
        <f>IF(ISNUMBER(J5),1,0)</f>
        <v>1</v>
      </c>
      <c r="M5" s="65" t="s">
        <v>64</v>
      </c>
      <c r="N5" s="66"/>
      <c r="O5" s="60">
        <f>(G5*L5)+(G6*L6)</f>
        <v>1</v>
      </c>
      <c r="P5" s="67">
        <f>(O5*E5)+(E7*O7)</f>
        <v>1</v>
      </c>
      <c r="Q5" s="68">
        <f>(P5*C5)+(P9*C10)</f>
        <v>0.625</v>
      </c>
      <c r="R5" s="62">
        <f ca="1">TODAY()</f>
        <v>46279</v>
      </c>
      <c r="S5" s="69">
        <f ca="1">I5-R5</f>
        <v>-334</v>
      </c>
      <c r="T5" s="70">
        <f ca="1">IF(S5&gt;0,0,1)</f>
        <v>1</v>
      </c>
      <c r="U5" s="71">
        <f ca="1">(G5*T5)+(G6*T6)</f>
        <v>1</v>
      </c>
      <c r="V5" s="72">
        <f ca="1">(E5*U5) + (E7*U7)</f>
        <v>1</v>
      </c>
      <c r="W5" s="73">
        <f ca="1">(V5*C5)+(V9*C9)</f>
        <v>0.875</v>
      </c>
      <c r="X5" s="36" t="str">
        <f t="shared" ref="X5:X12" ca="1" si="0">IF(R5-I5&gt;=0,"Si","No")</f>
        <v>Si</v>
      </c>
      <c r="Y5" s="36" t="str">
        <f ca="1">IF(AND(L5=1,X5="Si"),"Si","")</f>
        <v>Si</v>
      </c>
      <c r="Z5" s="36" t="str">
        <f t="shared" ref="Z5:Z12" ca="1" si="1">IF(AND(K5&gt;=0,X5="Si"),"Si","")</f>
        <v>Si</v>
      </c>
    </row>
    <row r="6" spans="2:26" ht="30.75">
      <c r="B6" s="106"/>
      <c r="C6" s="103"/>
      <c r="D6" s="58" t="s">
        <v>61</v>
      </c>
      <c r="E6" s="59">
        <v>0.5</v>
      </c>
      <c r="F6" s="74" t="s">
        <v>65</v>
      </c>
      <c r="G6" s="60">
        <v>0.5</v>
      </c>
      <c r="H6" s="61" t="s">
        <v>66</v>
      </c>
      <c r="I6" s="62">
        <v>45778</v>
      </c>
      <c r="J6" s="45">
        <v>45767</v>
      </c>
      <c r="K6" s="63">
        <f>I6-J6</f>
        <v>11</v>
      </c>
      <c r="L6" s="64">
        <f t="shared" ref="L6:L12" si="2">IF(ISNUMBER(J6),1,0)</f>
        <v>1</v>
      </c>
      <c r="M6" s="65" t="s">
        <v>67</v>
      </c>
      <c r="N6" s="66"/>
      <c r="O6" s="75"/>
      <c r="P6" s="76"/>
      <c r="Q6" s="77"/>
      <c r="R6" s="62">
        <f t="shared" ref="R6:R12" ca="1" si="3">TODAY()</f>
        <v>46279</v>
      </c>
      <c r="S6" s="69">
        <f ca="1">I6-R6</f>
        <v>-501</v>
      </c>
      <c r="T6" s="70">
        <f ca="1">IF(S6&gt;0,0,1)</f>
        <v>1</v>
      </c>
      <c r="U6" s="78"/>
      <c r="V6" s="78"/>
      <c r="W6" s="78"/>
      <c r="X6" s="36" t="str">
        <f t="shared" ca="1" si="0"/>
        <v>Si</v>
      </c>
      <c r="Y6" s="36" t="str">
        <f t="shared" ref="Y6:Y12" ca="1" si="4">IF(AND(L6=1,X6="Si"),"Si","")</f>
        <v>Si</v>
      </c>
      <c r="Z6" s="36" t="str">
        <f t="shared" ca="1" si="1"/>
        <v>Si</v>
      </c>
    </row>
    <row r="7" spans="2:26" ht="30.75">
      <c r="B7" s="106"/>
      <c r="C7" s="103"/>
      <c r="D7" s="79" t="s">
        <v>68</v>
      </c>
      <c r="E7" s="80">
        <v>0.5</v>
      </c>
      <c r="F7" s="79" t="s">
        <v>69</v>
      </c>
      <c r="G7" s="81">
        <v>0.5</v>
      </c>
      <c r="H7" s="61" t="s">
        <v>70</v>
      </c>
      <c r="I7" s="62">
        <v>45778</v>
      </c>
      <c r="J7" s="45">
        <v>45767</v>
      </c>
      <c r="K7" s="63">
        <f>I7-J7</f>
        <v>11</v>
      </c>
      <c r="L7" s="64">
        <f t="shared" si="2"/>
        <v>1</v>
      </c>
      <c r="M7" s="65" t="s">
        <v>71</v>
      </c>
      <c r="N7" s="66"/>
      <c r="O7" s="82">
        <f>(G7*L7)+(G8*L8)</f>
        <v>1</v>
      </c>
      <c r="P7" s="75"/>
      <c r="Q7" s="75"/>
      <c r="R7" s="62">
        <f t="shared" ca="1" si="3"/>
        <v>46279</v>
      </c>
      <c r="S7" s="69">
        <f t="shared" ref="S7:S12" ca="1" si="5">I7-R7</f>
        <v>-501</v>
      </c>
      <c r="T7" s="70">
        <f t="shared" ref="T7:T12" ca="1" si="6">IF(S7&gt;0,0,1)</f>
        <v>1</v>
      </c>
      <c r="U7" s="83">
        <f ca="1">(G7*T7)+(G8*T8)</f>
        <v>1</v>
      </c>
      <c r="V7" s="78"/>
      <c r="W7" s="78"/>
      <c r="X7" s="36" t="str">
        <f t="shared" ca="1" si="0"/>
        <v>Si</v>
      </c>
      <c r="Y7" s="36" t="str">
        <f t="shared" ca="1" si="4"/>
        <v>Si</v>
      </c>
      <c r="Z7" s="36" t="str">
        <f t="shared" ca="1" si="1"/>
        <v>Si</v>
      </c>
    </row>
    <row r="8" spans="2:26" ht="30.75">
      <c r="B8" s="107"/>
      <c r="C8" s="104"/>
      <c r="D8" s="79" t="s">
        <v>68</v>
      </c>
      <c r="E8" s="80">
        <v>0.5</v>
      </c>
      <c r="F8" s="79" t="s">
        <v>72</v>
      </c>
      <c r="G8" s="81">
        <v>0.5</v>
      </c>
      <c r="H8" s="61" t="s">
        <v>73</v>
      </c>
      <c r="I8" s="84">
        <v>46054</v>
      </c>
      <c r="J8" s="45">
        <v>45684</v>
      </c>
      <c r="K8" s="63">
        <f>I8-J8</f>
        <v>370</v>
      </c>
      <c r="L8" s="64">
        <f t="shared" si="2"/>
        <v>1</v>
      </c>
      <c r="M8" s="65" t="s">
        <v>74</v>
      </c>
      <c r="N8" s="66"/>
      <c r="O8" s="75"/>
      <c r="P8" s="75"/>
      <c r="Q8" s="75"/>
      <c r="R8" s="62">
        <f t="shared" ca="1" si="3"/>
        <v>46279</v>
      </c>
      <c r="S8" s="69">
        <f ca="1">I8-R8</f>
        <v>-225</v>
      </c>
      <c r="T8" s="70">
        <f t="shared" ca="1" si="6"/>
        <v>1</v>
      </c>
      <c r="U8" s="78"/>
      <c r="V8" s="78"/>
      <c r="W8" s="78"/>
      <c r="X8" s="36" t="str">
        <f t="shared" ca="1" si="0"/>
        <v>Si</v>
      </c>
      <c r="Y8" s="36" t="str">
        <f t="shared" ca="1" si="4"/>
        <v>Si</v>
      </c>
      <c r="Z8" s="36" t="str">
        <f t="shared" ca="1" si="1"/>
        <v>Si</v>
      </c>
    </row>
    <row r="9" spans="2:26" ht="30.75">
      <c r="B9" s="108" t="s">
        <v>75</v>
      </c>
      <c r="C9" s="85">
        <v>0.5</v>
      </c>
      <c r="D9" s="86" t="s">
        <v>76</v>
      </c>
      <c r="E9" s="87">
        <v>0.5</v>
      </c>
      <c r="F9" s="86" t="s">
        <v>77</v>
      </c>
      <c r="G9" s="88">
        <v>0.5</v>
      </c>
      <c r="H9" s="61" t="s">
        <v>78</v>
      </c>
      <c r="I9" s="99">
        <v>46162</v>
      </c>
      <c r="J9" s="45">
        <v>46209</v>
      </c>
      <c r="K9" s="100">
        <f>I9-J9</f>
        <v>-47</v>
      </c>
      <c r="L9" s="64">
        <f t="shared" si="2"/>
        <v>1</v>
      </c>
      <c r="M9" s="65" t="s">
        <v>79</v>
      </c>
      <c r="N9" s="66"/>
      <c r="O9" s="88">
        <f>(G9*L9)+(G10*L10)</f>
        <v>0.5</v>
      </c>
      <c r="P9" s="89">
        <f>(O9*E9)+(O11*E11)</f>
        <v>0.25</v>
      </c>
      <c r="Q9" s="75"/>
      <c r="R9" s="62">
        <f t="shared" ca="1" si="3"/>
        <v>46279</v>
      </c>
      <c r="S9" s="69">
        <f t="shared" ca="1" si="5"/>
        <v>-117</v>
      </c>
      <c r="T9" s="70">
        <f ca="1">IF(S9&gt;0,0,1)</f>
        <v>1</v>
      </c>
      <c r="U9" s="90">
        <f ca="1">(G9*T9)+(G10*T10)</f>
        <v>1</v>
      </c>
      <c r="V9" s="91">
        <f ca="1">(E9*U9) + (E11*U11)</f>
        <v>0.75</v>
      </c>
      <c r="W9" s="78"/>
      <c r="X9" s="36" t="str">
        <f t="shared" ca="1" si="0"/>
        <v>Si</v>
      </c>
      <c r="Y9" s="36" t="str">
        <f t="shared" ca="1" si="4"/>
        <v>Si</v>
      </c>
      <c r="Z9" s="36" t="str">
        <f t="shared" ca="1" si="1"/>
        <v/>
      </c>
    </row>
    <row r="10" spans="2:26" ht="30.75">
      <c r="B10" s="109"/>
      <c r="C10" s="85">
        <v>0.5</v>
      </c>
      <c r="D10" s="86" t="s">
        <v>76</v>
      </c>
      <c r="E10" s="87">
        <v>0.5</v>
      </c>
      <c r="F10" s="86" t="s">
        <v>80</v>
      </c>
      <c r="G10" s="88">
        <v>0.5</v>
      </c>
      <c r="H10" s="61" t="s">
        <v>81</v>
      </c>
      <c r="I10" s="101">
        <v>46204</v>
      </c>
      <c r="J10" s="99"/>
      <c r="K10" s="63">
        <f t="shared" ref="K10:K11" si="7">I10-J10</f>
        <v>46204</v>
      </c>
      <c r="L10" s="64">
        <f t="shared" si="2"/>
        <v>0</v>
      </c>
      <c r="M10" s="65" t="s">
        <v>82</v>
      </c>
      <c r="N10" s="66"/>
      <c r="O10" s="75"/>
      <c r="P10" s="75"/>
      <c r="Q10" s="75"/>
      <c r="R10" s="62">
        <f t="shared" ca="1" si="3"/>
        <v>46279</v>
      </c>
      <c r="S10" s="69">
        <f t="shared" ca="1" si="5"/>
        <v>-75</v>
      </c>
      <c r="T10" s="70">
        <f t="shared" ca="1" si="6"/>
        <v>1</v>
      </c>
      <c r="U10" s="78"/>
      <c r="V10" s="78"/>
      <c r="W10" s="78"/>
      <c r="X10" s="36" t="str">
        <f t="shared" ca="1" si="0"/>
        <v>Si</v>
      </c>
      <c r="Y10" s="36" t="str">
        <f t="shared" ca="1" si="4"/>
        <v/>
      </c>
      <c r="Z10" s="36" t="str">
        <f t="shared" ca="1" si="1"/>
        <v>Si</v>
      </c>
    </row>
    <row r="11" spans="2:26">
      <c r="B11" s="109"/>
      <c r="C11" s="85">
        <v>0.5</v>
      </c>
      <c r="D11" s="92" t="s">
        <v>83</v>
      </c>
      <c r="E11" s="93">
        <v>0.5</v>
      </c>
      <c r="F11" s="92" t="s">
        <v>84</v>
      </c>
      <c r="G11" s="94">
        <v>0.5</v>
      </c>
      <c r="H11" s="61" t="s">
        <v>85</v>
      </c>
      <c r="I11" s="101">
        <v>46237</v>
      </c>
      <c r="J11" s="99"/>
      <c r="K11" s="63">
        <f t="shared" si="7"/>
        <v>46237</v>
      </c>
      <c r="L11" s="64">
        <f t="shared" si="2"/>
        <v>0</v>
      </c>
      <c r="M11" s="65" t="s">
        <v>86</v>
      </c>
      <c r="N11" s="66"/>
      <c r="O11" s="95">
        <f>(G11*L11)+(G12*L12)</f>
        <v>0</v>
      </c>
      <c r="P11" s="75"/>
      <c r="Q11" s="75"/>
      <c r="R11" s="62">
        <f t="shared" ca="1" si="3"/>
        <v>46279</v>
      </c>
      <c r="S11" s="69">
        <f t="shared" ca="1" si="5"/>
        <v>-42</v>
      </c>
      <c r="T11" s="70">
        <f t="shared" ca="1" si="6"/>
        <v>1</v>
      </c>
      <c r="U11" s="96">
        <f ca="1">(G11*T11)+(G12*T12)</f>
        <v>0.5</v>
      </c>
      <c r="V11" s="78"/>
      <c r="W11" s="78"/>
      <c r="X11" s="36" t="str">
        <f t="shared" ca="1" si="0"/>
        <v>Si</v>
      </c>
      <c r="Y11" s="36" t="str">
        <f t="shared" ca="1" si="4"/>
        <v/>
      </c>
      <c r="Z11" s="36" t="str">
        <f t="shared" ca="1" si="1"/>
        <v>Si</v>
      </c>
    </row>
    <row r="12" spans="2:26" ht="30.75">
      <c r="B12" s="109"/>
      <c r="C12" s="85">
        <v>0.5</v>
      </c>
      <c r="D12" s="92" t="s">
        <v>83</v>
      </c>
      <c r="E12" s="93">
        <v>0.5</v>
      </c>
      <c r="F12" s="92" t="s">
        <v>87</v>
      </c>
      <c r="G12" s="94">
        <v>0.5</v>
      </c>
      <c r="H12" s="61" t="s">
        <v>88</v>
      </c>
      <c r="I12" s="62">
        <v>46295</v>
      </c>
      <c r="J12" s="45"/>
      <c r="K12" s="63">
        <f>I12-J12</f>
        <v>46295</v>
      </c>
      <c r="L12" s="64">
        <f t="shared" si="2"/>
        <v>0</v>
      </c>
      <c r="M12" s="65" t="s">
        <v>89</v>
      </c>
      <c r="N12" s="66"/>
      <c r="O12" s="75"/>
      <c r="P12" s="75"/>
      <c r="Q12" s="75"/>
      <c r="R12" s="62">
        <f t="shared" ca="1" si="3"/>
        <v>46279</v>
      </c>
      <c r="S12" s="69">
        <f t="shared" ca="1" si="5"/>
        <v>16</v>
      </c>
      <c r="T12" s="70">
        <f t="shared" ca="1" si="6"/>
        <v>0</v>
      </c>
      <c r="U12" s="78"/>
      <c r="V12" s="78"/>
      <c r="W12" s="78"/>
      <c r="X12" s="36" t="str">
        <f t="shared" ca="1" si="0"/>
        <v>No</v>
      </c>
      <c r="Y12" s="37" t="str">
        <f t="shared" ca="1" si="4"/>
        <v/>
      </c>
      <c r="Z12" s="37" t="str">
        <f t="shared" ca="1" si="1"/>
        <v/>
      </c>
    </row>
    <row r="13" spans="2:26">
      <c r="Y13" s="39">
        <f ca="1">COUNTIFS(Y5:Y12,"Si",X5:X12,"Si") / COUNTIF(X5:X12,"Si")</f>
        <v>0.7142857142857143</v>
      </c>
      <c r="Z13" s="40">
        <f ca="1">COUNTIFS(Z5:Z12,"Si",Y5:Y12,"Si") / COUNTIF(Y5:Y12,"Si")</f>
        <v>0.8</v>
      </c>
    </row>
    <row r="15" spans="2:26">
      <c r="X15" s="110" t="s">
        <v>90</v>
      </c>
      <c r="Y15" s="111"/>
      <c r="Z15" s="111"/>
    </row>
    <row r="16" spans="2:26" ht="30.75">
      <c r="X16" s="41" t="s">
        <v>91</v>
      </c>
      <c r="Y16" s="97">
        <f ca="1">R5</f>
        <v>46279</v>
      </c>
      <c r="Z16" s="98" t="s">
        <v>92</v>
      </c>
    </row>
    <row r="17" spans="24:26" ht="45.75">
      <c r="X17" s="41" t="s">
        <v>93</v>
      </c>
      <c r="Y17" s="98">
        <f ca="1">COUNTIFS(I:I,"&lt;="&amp;Y16,I:I,"&lt;&gt;")</f>
        <v>7</v>
      </c>
      <c r="Z17" s="98" t="s">
        <v>94</v>
      </c>
    </row>
    <row r="18" spans="24:26" ht="30.75">
      <c r="X18" s="41" t="s">
        <v>95</v>
      </c>
      <c r="Y18" s="98">
        <f ca="1">COUNTIFS(J:J,"&lt;="&amp;Y16,J:J,"&lt;&gt;",L:L,1)</f>
        <v>5</v>
      </c>
      <c r="Z18" s="98" t="s">
        <v>96</v>
      </c>
    </row>
    <row r="19" spans="24:26" ht="45.75">
      <c r="X19" s="41" t="s">
        <v>97</v>
      </c>
      <c r="Y19" s="98" cm="1">
        <f t="array" aca="1" ref="Y19" ca="1">SUMPRODUCT(--(J5:J12&lt;=Y16),--(I5:I12&lt;&gt;""),--(L5:L12=1),--(J5:J12&lt;&gt;""),--(J5:J12&lt;=I5:I12))</f>
        <v>4</v>
      </c>
      <c r="Z19" s="98" t="s">
        <v>98</v>
      </c>
    </row>
    <row r="20" spans="24:26" ht="30.75">
      <c r="X20" s="42" t="s">
        <v>37</v>
      </c>
      <c r="Y20" s="43">
        <f ca="1">MIN(1,IFERROR(Y18/Y17,0))</f>
        <v>0.7142857142857143</v>
      </c>
      <c r="Z20" s="44" t="s">
        <v>99</v>
      </c>
    </row>
    <row r="21" spans="24:26" ht="30.75">
      <c r="X21" s="42" t="s">
        <v>38</v>
      </c>
      <c r="Y21" s="43">
        <f ca="1">MIN(1,IFERROR(Y19/Y17,0))</f>
        <v>0.5714285714285714</v>
      </c>
      <c r="Z21" s="44" t="s">
        <v>100</v>
      </c>
    </row>
    <row r="22" spans="24:26" ht="30.75">
      <c r="X22" s="42" t="s">
        <v>101</v>
      </c>
      <c r="Y22" s="44">
        <f>COUNT(I5:I12)</f>
        <v>8</v>
      </c>
    </row>
  </sheetData>
  <mergeCells count="4">
    <mergeCell ref="C5:C8"/>
    <mergeCell ref="B5:B8"/>
    <mergeCell ref="B9:B12"/>
    <mergeCell ref="X15:Z15"/>
  </mergeCells>
  <hyperlinks>
    <hyperlink ref="M6" r:id="rId1" xr:uid="{BDA4F3E3-BD95-4F0B-A1E4-908D7CDB0B6B}"/>
    <hyperlink ref="M7" r:id="rId2" xr:uid="{B27055D3-1A14-4604-9B26-135FB5B7988C}"/>
    <hyperlink ref="M8" r:id="rId3" xr:uid="{7382D17E-84D0-4130-82CB-3DB3B1F60366}"/>
    <hyperlink ref="M9" r:id="rId4" xr:uid="{3BB75B6D-3447-4960-901B-C027E7FFACA9}"/>
    <hyperlink ref="M10" r:id="rId5" xr:uid="{17B96D02-A897-43CD-A027-B74550286045}"/>
    <hyperlink ref="M11" r:id="rId6" xr:uid="{D50EFF8B-E70B-48EE-825A-30DBC76469EC}"/>
    <hyperlink ref="M5" r:id="rId7" xr:uid="{E839FFB2-C0BF-48AE-A142-07A49D68105D}"/>
    <hyperlink ref="M12" r:id="rId8" xr:uid="{68EEA0F3-3BE6-4B9F-9F74-DFD4A9B67BA8}"/>
  </hyperlinks>
  <pageMargins left="0.25" right="0.25" top="0.75" bottom="0.75" header="0.3" footer="0.3"/>
  <pageSetup paperSize="3" fitToWidth="0" fitToHeight="0" orientation="landscape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14"/>
  <sheetViews>
    <sheetView workbookViewId="0">
      <selection activeCell="G15" sqref="G15"/>
    </sheetView>
  </sheetViews>
  <sheetFormatPr defaultColWidth="11.42578125" defaultRowHeight="15"/>
  <cols>
    <col min="2" max="2" width="27.85546875" bestFit="1" customWidth="1"/>
    <col min="5" max="5" width="11.42578125" customWidth="1"/>
  </cols>
  <sheetData>
    <row r="2" spans="2:6">
      <c r="B2" s="2" t="s">
        <v>102</v>
      </c>
    </row>
    <row r="3" spans="2:6">
      <c r="B3" s="3"/>
    </row>
    <row r="4" spans="2:6">
      <c r="B4" s="4"/>
      <c r="C4" s="21" t="s">
        <v>103</v>
      </c>
      <c r="D4" s="21" t="s">
        <v>104</v>
      </c>
      <c r="E4" s="21" t="s">
        <v>105</v>
      </c>
      <c r="F4" s="21" t="s">
        <v>106</v>
      </c>
    </row>
    <row r="5" spans="2:6">
      <c r="B5" s="1"/>
      <c r="C5" s="5"/>
      <c r="D5" s="6"/>
      <c r="E5" s="6"/>
      <c r="F5" s="6"/>
    </row>
    <row r="6" spans="2:6">
      <c r="B6" s="7" t="s">
        <v>107</v>
      </c>
      <c r="C6" s="8">
        <f ca="1">AVANCE!W5</f>
        <v>0.875</v>
      </c>
      <c r="D6" s="22">
        <f>AVANCE!Q5</f>
        <v>0.625</v>
      </c>
      <c r="E6" s="9">
        <f ca="1">C6-D6</f>
        <v>0.25</v>
      </c>
      <c r="F6" s="10" t="str">
        <f ca="1">IF(E6&gt;0,"ATRASO","EN TIEMPO")</f>
        <v>ATRASO</v>
      </c>
    </row>
    <row r="7" spans="2:6">
      <c r="B7" s="11"/>
      <c r="C7" s="12"/>
      <c r="D7" s="13"/>
      <c r="E7" s="13"/>
      <c r="F7" s="1"/>
    </row>
    <row r="8" spans="2:6">
      <c r="B8" s="14" t="s">
        <v>60</v>
      </c>
      <c r="C8" s="12">
        <f ca="1">AVANCE!V5</f>
        <v>1</v>
      </c>
      <c r="D8" s="16">
        <f>AVANCE!P5</f>
        <v>1</v>
      </c>
      <c r="E8" s="13">
        <f t="shared" ref="E8:E14" ca="1" si="0">C8-D8</f>
        <v>0</v>
      </c>
      <c r="F8" s="10" t="str">
        <f t="shared" ref="F8:F14" ca="1" si="1">IF(E8&gt;0,"ATRASO","EN TIEMPO")</f>
        <v>EN TIEMPO</v>
      </c>
    </row>
    <row r="9" spans="2:6">
      <c r="B9" s="23" t="s">
        <v>75</v>
      </c>
      <c r="C9" s="15">
        <f ca="1">AVANCE!V9</f>
        <v>0.75</v>
      </c>
      <c r="D9" s="16">
        <f>AVANCE!P9</f>
        <v>0.25</v>
      </c>
      <c r="E9" s="13">
        <f t="shared" ca="1" si="0"/>
        <v>0.5</v>
      </c>
      <c r="F9" s="10" t="str">
        <f t="shared" ca="1" si="1"/>
        <v>ATRASO</v>
      </c>
    </row>
    <row r="10" spans="2:6">
      <c r="B10" s="17"/>
      <c r="C10" s="16"/>
      <c r="D10" s="16"/>
      <c r="E10" s="13"/>
      <c r="F10" s="1"/>
    </row>
    <row r="11" spans="2:6">
      <c r="B11" s="24" t="s">
        <v>61</v>
      </c>
      <c r="C11" s="16">
        <f ca="1">AVANCE!U5</f>
        <v>1</v>
      </c>
      <c r="D11" s="16">
        <f>AVANCE!O5</f>
        <v>1</v>
      </c>
      <c r="E11" s="13">
        <f t="shared" ca="1" si="0"/>
        <v>0</v>
      </c>
      <c r="F11" s="10" t="str">
        <f t="shared" ca="1" si="1"/>
        <v>EN TIEMPO</v>
      </c>
    </row>
    <row r="12" spans="2:6">
      <c r="B12" s="25" t="s">
        <v>68</v>
      </c>
      <c r="C12" s="16">
        <f ca="1">AVANCE!U7</f>
        <v>1</v>
      </c>
      <c r="D12" s="16">
        <f>AVANCE!O7</f>
        <v>1</v>
      </c>
      <c r="E12" s="13">
        <f t="shared" ca="1" si="0"/>
        <v>0</v>
      </c>
      <c r="F12" s="10" t="str">
        <f t="shared" ca="1" si="1"/>
        <v>EN TIEMPO</v>
      </c>
    </row>
    <row r="13" spans="2:6">
      <c r="B13" s="18" t="s">
        <v>76</v>
      </c>
      <c r="C13" s="19">
        <f ca="1">AVANCE!U9</f>
        <v>1</v>
      </c>
      <c r="D13" s="19">
        <f>AVANCE!O9</f>
        <v>0.5</v>
      </c>
      <c r="E13" s="20">
        <f t="shared" ca="1" si="0"/>
        <v>0.5</v>
      </c>
      <c r="F13" s="10" t="str">
        <f t="shared" ca="1" si="1"/>
        <v>ATRASO</v>
      </c>
    </row>
    <row r="14" spans="2:6">
      <c r="B14" s="26" t="s">
        <v>83</v>
      </c>
      <c r="C14" s="16">
        <f ca="1">AVANCE!U11</f>
        <v>0.5</v>
      </c>
      <c r="D14" s="16">
        <f>AVANCE!O11</f>
        <v>0</v>
      </c>
      <c r="E14" s="13">
        <f t="shared" ca="1" si="0"/>
        <v>0.5</v>
      </c>
      <c r="F14" s="10" t="str">
        <f t="shared" ca="1" si="1"/>
        <v>ATRASO</v>
      </c>
    </row>
  </sheetData>
  <conditionalFormatting sqref="F6:F14">
    <cfRule type="containsText" dxfId="1" priority="1" operator="containsText" text="ATRASO">
      <formula>NOT(ISERROR(SEARCH("ATRASO",F6)))</formula>
    </cfRule>
    <cfRule type="containsText" dxfId="0" priority="2" operator="containsText" text="EN TIEMPO">
      <formula>NOT(ISERROR(SEARCH("EN TIEMPO",F6)))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Guillermo Montenegro Motta</dc:creator>
  <cp:keywords/>
  <dc:description/>
  <cp:lastModifiedBy/>
  <cp:revision/>
  <dcterms:created xsi:type="dcterms:W3CDTF">2025-05-14T16:06:46Z</dcterms:created>
  <dcterms:modified xsi:type="dcterms:W3CDTF">2026-09-14T18:51:36Z</dcterms:modified>
  <cp:category/>
  <cp:contentStatus/>
</cp:coreProperties>
</file>