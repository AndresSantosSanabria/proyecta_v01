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updateLinks="always"/>
  <mc:AlternateContent xmlns:mc="http://schemas.openxmlformats.org/markup-compatibility/2006">
    <mc:Choice Requires="x15">
      <x15ac:absPath xmlns:x15ac="http://schemas.microsoft.com/office/spreadsheetml/2010/11/ac" url="https://cundinamarcatic-my.sharepoint.com/personal/luis_montenegro_cundinamarca_gov_co/Documents/2025 TIC/PROYECTOS TI/PETI/Consolidado/"/>
    </mc:Choice>
  </mc:AlternateContent>
  <xr:revisionPtr revIDLastSave="0" documentId="8_{2FA987F9-BC52-4595-864B-12DAB3F54C97}" xr6:coauthVersionLast="47" xr6:coauthVersionMax="47" xr10:uidLastSave="{00000000-0000-0000-0000-000000000000}"/>
  <bookViews>
    <workbookView minimized="1" xWindow="9735" yWindow="615" windowWidth="12240" windowHeight="15330" xr2:uid="{00000000-000D-0000-FFFF-FFFF00000000}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I5" i="1"/>
  <c r="N5" i="1"/>
  <c r="D5" i="1"/>
  <c r="C5" i="1"/>
  <c r="F5" i="1"/>
  <c r="E5" i="1"/>
  <c r="L5" i="1"/>
  <c r="K5" i="1"/>
  <c r="J5" i="1"/>
  <c r="M5" i="1"/>
  <c r="L6" i="1"/>
  <c r="L7" i="1"/>
  <c r="L8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M7" i="1"/>
  <c r="M6" i="1"/>
  <c r="N6" i="1"/>
  <c r="N20" i="1"/>
  <c r="E6" i="1"/>
  <c r="F18" i="1"/>
  <c r="E18" i="1"/>
  <c r="E7" i="1"/>
  <c r="F20" i="1"/>
  <c r="E20" i="1"/>
  <c r="F19" i="1"/>
  <c r="E19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D6" i="1"/>
  <c r="C6" i="1"/>
  <c r="F6" i="1"/>
  <c r="E21" i="1"/>
  <c r="L21" i="1" l="1"/>
  <c r="M21" i="1"/>
  <c r="I21" i="1"/>
  <c r="J21" i="1"/>
  <c r="K21" i="1"/>
  <c r="F21" i="1"/>
  <c r="G20" i="1"/>
  <c r="G19" i="1"/>
  <c r="G18" i="1"/>
  <c r="G17" i="1"/>
  <c r="G15" i="1"/>
  <c r="G14" i="1" l="1"/>
  <c r="G13" i="1" l="1"/>
  <c r="G10" i="1"/>
  <c r="G6" i="1"/>
  <c r="G8" i="1" l="1"/>
  <c r="G7" i="1"/>
  <c r="G9" i="1"/>
  <c r="H15" i="1" l="1"/>
  <c r="H8" i="1"/>
  <c r="H7" i="1"/>
  <c r="D3" i="1"/>
  <c r="H18" i="1"/>
  <c r="H17" i="1"/>
  <c r="H14" i="1"/>
  <c r="H13" i="1"/>
  <c r="H20" i="1"/>
  <c r="H19" i="1"/>
  <c r="H10" i="1"/>
  <c r="H9" i="1"/>
  <c r="H6" i="1"/>
  <c r="G16" i="1" l="1"/>
  <c r="H16" i="1" s="1"/>
  <c r="G5" i="1"/>
  <c r="H5" i="1" l="1"/>
  <c r="G11" i="1"/>
  <c r="H11" i="1" l="1"/>
  <c r="G12" i="1"/>
  <c r="G21" i="1" s="1"/>
  <c r="H12" i="1" l="1"/>
</calcChain>
</file>

<file path=xl/sharedStrings.xml><?xml version="1.0" encoding="utf-8"?>
<sst xmlns="http://schemas.openxmlformats.org/spreadsheetml/2006/main" count="90" uniqueCount="76">
  <si>
    <t>SEGUIMIENTO PROYECTOS PETI 2024 - 2028</t>
  </si>
  <si>
    <t>FECHA DE CORTE</t>
  </si>
  <si>
    <t>Proy</t>
  </si>
  <si>
    <t>Proyecto Nombre</t>
  </si>
  <si>
    <t>Meta</t>
  </si>
  <si>
    <t>Programado</t>
  </si>
  <si>
    <t>Avance</t>
  </si>
  <si>
    <t>Diferencia</t>
  </si>
  <si>
    <t>Estado</t>
  </si>
  <si>
    <t>Total entregables</t>
  </si>
  <si>
    <t>Entregables programados al corte</t>
  </si>
  <si>
    <t>Entregados al corte</t>
  </si>
  <si>
    <t xml:space="preserve">Eficacia </t>
  </si>
  <si>
    <t xml:space="preserve">Eficiencia </t>
  </si>
  <si>
    <t>Dependencia</t>
  </si>
  <si>
    <t>Responsable</t>
  </si>
  <si>
    <t>P01</t>
  </si>
  <si>
    <t>Elsy Elena Martinez</t>
  </si>
  <si>
    <t>P02</t>
  </si>
  <si>
    <t>Cristian Ochoa</t>
  </si>
  <si>
    <t>P03</t>
  </si>
  <si>
    <t>Fortalecimiento del proceso de gestión documental del sector central del departamento de Cundinamarca.</t>
  </si>
  <si>
    <t>Migrar hacia 1 sistema de gestión documental integral en el marco de las nuevas tecnologías, con el fin de garantizar la gestión eficaz de documentos electrónicos y promoviendo la transición hacia un entorno de cero papel.</t>
  </si>
  <si>
    <t>Secretaría General y de Cercanía al Ciudadano.</t>
  </si>
  <si>
    <t>Fernando Rivera</t>
  </si>
  <si>
    <t>P04</t>
  </si>
  <si>
    <t>Modernización de los canales de atención y migración integral a la nube de los sistemas de información del departamento de Cundinamarca.</t>
  </si>
  <si>
    <t>Actualizar la ventanilla única virtual departamental por medio de la digitalización de trámites y la omnicanalidad de atención al ciudadano de la administración departamental.</t>
  </si>
  <si>
    <t>P05</t>
  </si>
  <si>
    <t>Fortalecimiento de herramientas y servicios tecnológicos como insumo para monitoreo, seguimiento, toma de decisiones y evaluación en la comunicación pública en el departamento de Cundinamarca.</t>
  </si>
  <si>
    <t>Implementar 1 sistema de información para la comunicación institucional y pública que dé garantía al acceso y transparencia en la información y la comunicación.</t>
  </si>
  <si>
    <t>Oficina de Prensa y Comunicaciones</t>
  </si>
  <si>
    <t>Fabio Andres Santos</t>
  </si>
  <si>
    <t>P06</t>
  </si>
  <si>
    <t>Fortalecimiento institucional para garantizar la adecuada prestación del servicio educativo en el departamento de Cundinamarca.</t>
  </si>
  <si>
    <t>Crear un modelo digital para el servicio integral de la comunidad educativa y la Secretaría de Educación Departamental</t>
  </si>
  <si>
    <t>Secretaría de Educación</t>
  </si>
  <si>
    <t>Catalina Barragan</t>
  </si>
  <si>
    <t>P07</t>
  </si>
  <si>
    <t>Optimización y fortalecimiento de la gestión fiscal, para garantizar la solidez y sostenibilidad del departamento de Cundinamarca.</t>
  </si>
  <si>
    <t>Fortalecer 6 herramientas tributarias y financieras con actualización tecnológica</t>
  </si>
  <si>
    <t>Secretaría de Hacienda</t>
  </si>
  <si>
    <t>Yesid Luque</t>
  </si>
  <si>
    <t>P08</t>
  </si>
  <si>
    <t>Crear 4 herramientas para la gestión de impuestos y Seguimiento fiscal.</t>
  </si>
  <si>
    <t>P09</t>
  </si>
  <si>
    <t>Mejoramiento de la información como herramienta en la toma de decisiones de la autoridad sanitaria en Cundinamarca.</t>
  </si>
  <si>
    <t>Actualizar 3 sistemas de información, plataformas y/o soluciones informáticas para la salud digital en la red pública del Departamento.</t>
  </si>
  <si>
    <t>Secretaría de Salud</t>
  </si>
  <si>
    <t>Jaime Cortes</t>
  </si>
  <si>
    <t>P10</t>
  </si>
  <si>
    <t>Desarrollo de centros especializados de desarrollo y formación en nuevas tecnologías en Cundinamarca.</t>
  </si>
  <si>
    <t>Participar en el desarrollo de 3 centros de inteligencia artificial en el departamento de Cundinamarca.</t>
  </si>
  <si>
    <t>Secretaría de Transformación Digital</t>
  </si>
  <si>
    <t>José Melo</t>
  </si>
  <si>
    <t>P11</t>
  </si>
  <si>
    <t>Modernización de los canales de atención y migración integral a la nube de los sistemas de información del departamento de Cundinamarca</t>
  </si>
  <si>
    <t>Prestar el servicio de tecnología de migración a la nube, correspondiente al 20% de los sistemas de información.</t>
  </si>
  <si>
    <t>P12</t>
  </si>
  <si>
    <t>Fortalecimiento de la infraestructura tecnológica del departamento de Cundinamarca.</t>
  </si>
  <si>
    <t>Renovar el 15% de los equipos de cómputo de uso institucional.</t>
  </si>
  <si>
    <t>P13</t>
  </si>
  <si>
    <t>Modernización del modelo de arquitectura empresarial de seguridad con visión de actualización de servicios digitales del departamento de Cundinamarca.</t>
  </si>
  <si>
    <t>Diseñar e implementar la Arquitectura TI con los componentes requeridos de transformación y seguridad, en el marco de la Política de Gobierno Digital.</t>
  </si>
  <si>
    <t>Lesly Vanegas - UNAL</t>
  </si>
  <si>
    <t>P14</t>
  </si>
  <si>
    <t>Actualización y mejoramiento de espacios tecnológicos de aprendizaje e innovación en el departamento de Cundinamarca.</t>
  </si>
  <si>
    <t>Actualizar el 100% de los centros interactivos del departamento (CTEI)</t>
  </si>
  <si>
    <t>Natalia Jaramillo</t>
  </si>
  <si>
    <t>P15</t>
  </si>
  <si>
    <t>Transformación tecnológica para la eficiencia de servicios digitales en Cundinamarca.</t>
  </si>
  <si>
    <t>Desarrollar 20 nuevas soluciones tecnológicas para el sector central y descentralizado del Departamento.</t>
  </si>
  <si>
    <t>Andres Roldan</t>
  </si>
  <si>
    <t>P16</t>
  </si>
  <si>
    <t>Actualizar 6 servicios digitales con nuevas tecnologías para hacer frente a los desafíos de la industria 4.0.</t>
  </si>
  <si>
    <t>Promedios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</si>
</sst>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A]d&quot; de &quot;mmmm&quot; de &quot;yyyy;@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4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9" fontId="3" fillId="5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9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9" fontId="3" fillId="5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9" fontId="2" fillId="0" borderId="4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9" fontId="2" fillId="0" borderId="5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0" fontId="1" fillId="0" borderId="8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7F3A3"/>
      <color rgb="FFE2F0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proyectos PETI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Hoja1!$E$4</c:f>
              <c:strCache>
                <c:ptCount val="1"/>
                <c:pt idx="0">
                  <c:v>Programado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Hoja1!$B$5:$B$20</c:f>
              <c:strCache>
                <c:ptCount val="16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</c:strCache>
            </c:strRef>
          </c:cat>
          <c:val>
            <c:numRef>
              <c:f>Hoja1!$E$5:$E$20</c:f>
              <c:numCache>
                <c:formatCode>0%</c:formatCode>
                <c:ptCount val="16"/>
                <c:pt idx="0">
                  <c:v>0.64000000000000012</c:v>
                </c:pt>
                <c:pt idx="1">
                  <c:v>0.625</c:v>
                </c:pt>
                <c:pt idx="2">
                  <c:v>0.66</c:v>
                </c:pt>
                <c:pt idx="3">
                  <c:v>0.60089760000000003</c:v>
                </c:pt>
                <c:pt idx="4">
                  <c:v>1</c:v>
                </c:pt>
                <c:pt idx="5">
                  <c:v>0.320685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0.5</c:v>
                </c:pt>
                <c:pt idx="10">
                  <c:v>0.68</c:v>
                </c:pt>
                <c:pt idx="11">
                  <c:v>0</c:v>
                </c:pt>
                <c:pt idx="12">
                  <c:v>0.8</c:v>
                </c:pt>
                <c:pt idx="13">
                  <c:v>0.25</c:v>
                </c:pt>
                <c:pt idx="14">
                  <c:v>0.35</c:v>
                </c:pt>
                <c:pt idx="15">
                  <c:v>0.55999999999999994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1-470B-85F8-A2E4D8D68F3C}"/>
            </c:ext>
          </c:extLst>
        </c:ser>
        <c:ser>
          <c:idx val="1"/>
          <c:order val="1"/>
          <c:tx>
            <c:strRef>
              <c:f>Hoja1!$F$4</c:f>
              <c:strCache>
                <c:ptCount val="1"/>
                <c:pt idx="0">
                  <c:v>Avance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Hoja1!$B$5:$B$20</c:f>
              <c:strCache>
                <c:ptCount val="16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  <c:pt idx="10">
                  <c:v>P11</c:v>
                </c:pt>
                <c:pt idx="11">
                  <c:v>P12</c:v>
                </c:pt>
                <c:pt idx="12">
                  <c:v>P13</c:v>
                </c:pt>
                <c:pt idx="13">
                  <c:v>P14</c:v>
                </c:pt>
                <c:pt idx="14">
                  <c:v>P15</c:v>
                </c:pt>
                <c:pt idx="15">
                  <c:v>P16</c:v>
                </c:pt>
              </c:strCache>
            </c:strRef>
          </c:cat>
          <c:val>
            <c:numRef>
              <c:f>Hoja1!$F$5:$F$20</c:f>
              <c:numCache>
                <c:formatCode>0%</c:formatCode>
                <c:ptCount val="16"/>
                <c:pt idx="0">
                  <c:v>0.64000000000000012</c:v>
                </c:pt>
                <c:pt idx="1">
                  <c:v>0.5</c:v>
                </c:pt>
                <c:pt idx="2">
                  <c:v>0.66</c:v>
                </c:pt>
                <c:pt idx="3">
                  <c:v>0.60089760000000003</c:v>
                </c:pt>
                <c:pt idx="4">
                  <c:v>1</c:v>
                </c:pt>
                <c:pt idx="5">
                  <c:v>0.28263499999999997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0.5</c:v>
                </c:pt>
                <c:pt idx="10">
                  <c:v>0.68</c:v>
                </c:pt>
                <c:pt idx="11">
                  <c:v>0</c:v>
                </c:pt>
                <c:pt idx="12">
                  <c:v>1</c:v>
                </c:pt>
                <c:pt idx="13">
                  <c:v>0.25</c:v>
                </c:pt>
                <c:pt idx="14">
                  <c:v>0.25</c:v>
                </c:pt>
                <c:pt idx="15">
                  <c:v>0.55999999999999994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1-470B-85F8-A2E4D8D68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7469319"/>
        <c:axId val="435593736"/>
      </c:barChart>
      <c:catAx>
        <c:axId val="166746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93736"/>
        <c:crosses val="autoZero"/>
        <c:auto val="1"/>
        <c:lblAlgn val="ctr"/>
        <c:lblOffset val="100"/>
        <c:noMultiLvlLbl val="0"/>
      </c:catAx>
      <c:valAx>
        <c:axId val="4355937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46931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123825</xdr:colOff>
      <xdr:row>2</xdr:row>
      <xdr:rowOff>171450</xdr:rowOff>
    </xdr:from>
    <xdr:to>
      <xdr:col>34</xdr:col>
      <xdr:colOff>190500</xdr:colOff>
      <xdr:row>14</xdr:row>
      <xdr:rowOff>285750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E3A062-9F18-46F5-0BC1-E3DA4F85E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1/EXCEL/PETI%2001%20FORTALECIMIENTO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1/EXCEL/PETI%2001%20FORTALECIMIENTO.xlsx" TargetMode="External"/><Relationship Id="rId1" Type="http://schemas.openxmlformats.org/officeDocument/2006/relationships/externalLinkPath" Target="/personal/luis_montenegro_cundinamarca_gov_co/Documents/2025%20TIC/PROYECTOS%20TI/PETI/PETI%2001/EXCEL/PETI%2001%20FORTALECIMIENT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2/EXCEL/PETI%2002%20CUNDILEX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2/EXCEL/PETI%2002%20CUNDILEX.xlsx" TargetMode="External"/><Relationship Id="rId1" Type="http://schemas.openxmlformats.org/officeDocument/2006/relationships/externalLinkPath" Target="/personal/luis_montenegro_cundinamarca_gov_co/Documents/2025%20TIC/PROYECTOS%20TI/PETI/PETI%2002/EXCEL/PETI%2002%20CUNDILEX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3/EXCEL/PETI%2003%20FORTALECIMIENTO%20GESTION%20DOCUMENTAL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3/EXCEL/PETI%2003%20FORTALECIMIENTO%20GESTION%20DOCUMENTAL.xlsx" TargetMode="External"/><Relationship Id="rId1" Type="http://schemas.openxmlformats.org/officeDocument/2006/relationships/externalLinkPath" Target="/personal/luis_montenegro_cundinamarca_gov_co/Documents/2025%20TIC/PROYECTOS%20TI/PETI/PETI%2003/EXCEL/PETI%2003%20FORTALECIMIENTO%20GESTION%20DOCUMENTAL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4/EXCEL/PETI%2004%20MODERNIZACION%20CANALES%20DE%20ATENCION%20Y%20MIGRACION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4/EXCEL/PETI%2004%20MODERNIZACION%20CANALES%20DE%20ATENCION%20Y%20MIGRACION.xlsx" TargetMode="External"/><Relationship Id="rId1" Type="http://schemas.openxmlformats.org/officeDocument/2006/relationships/externalLinkPath" Target="/personal/luis_montenegro_cundinamarca_gov_co/Documents/2025%20TIC/PROYECTOS%20TI/PETI/PETI%2004/EXCEL/PETI%2004%20MODERNIZACION%20CANALES%20DE%20ATENCION%20Y%20MIGRACION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5/EXCEL/PETI%2005%20IMPLEMENTACION%20%20SISTEMA%20DE%20INFORMACION%20COMUNICACION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5/EXCEL/PETI%2005%20IMPLEMENTACION%20%20SISTEMA%20DE%20INFORMACION%20COMUNICACION.xlsx" TargetMode="External"/><Relationship Id="rId1" Type="http://schemas.openxmlformats.org/officeDocument/2006/relationships/externalLinkPath" Target="/personal/luis_montenegro_cundinamarca_gov_co/Documents/2025%20TIC/PROYECTOS%20TI/PETI/PETI%2005/EXCEL/PETI%2005%20IMPLEMENTACION%20%20SISTEMA%20DE%20INFORMACION%20COMUNICACION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6/EXCEL/PETI%2006%20FORTALECIMIENTO%20INSTITUCIONAL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6/EXCEL/PETI%2006%20FORTALECIMIENTO%20INSTITUCIONAL.xlsx" TargetMode="External"/><Relationship Id="rId1" Type="http://schemas.openxmlformats.org/officeDocument/2006/relationships/externalLinkPath" Target="/personal/luis_montenegro_cundinamarca_gov_co/Documents/2025%20TIC/PROYECTOS%20TI/PETI/PETI%2006/EXCEL/PETI%2006%20FORTALECIMIENTO%20INSTITUCIONAL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7/EXCEL/PETI%2007%20FORTALECIMIENTO%20GESTION%20FISCAL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7/EXCEL/PETI%2007%20FORTALECIMIENTO%20GESTION%20FISCAL.xlsx" TargetMode="External"/><Relationship Id="rId1" Type="http://schemas.openxmlformats.org/officeDocument/2006/relationships/externalLinkPath" Target="/personal/luis_montenegro_cundinamarca_gov_co/Documents/2025%20TIC/PROYECTOS%20TI/PETI/PETI%2007/EXCEL/PETI%2007%20FORTALECIMIENTO%20GESTION%20FISCAL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8/EXCEL/PETI%2008%20HERRAMIENTAS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8/EXCEL/PETI%2008%20HERRAMIENTAS.xlsx" TargetMode="External"/><Relationship Id="rId1" Type="http://schemas.openxmlformats.org/officeDocument/2006/relationships/externalLinkPath" Target="/personal/luis_montenegro_cundinamarca_gov_co/Documents/2025%20TIC/PROYECTOS%20TI/PETI/PETI%2008/EXCEL/PETI%2008%20HERRAMIENTAS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09/EXCEL/PETI%2009%20MEJORAMIENTO%20INFORMACION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09/EXCEL/PETI%2009%20MEJORAMIENTO%20INFORMACION.xlsx" TargetMode="External"/><Relationship Id="rId1" Type="http://schemas.openxmlformats.org/officeDocument/2006/relationships/externalLinkPath" Target="/personal/luis_montenegro_cundinamarca_gov_co/Documents/2025%20TIC/PROYECTOS%20TI/PETI/PETI%2009/EXCEL/PETI%2009%20MEJORAMIENTO%20INFORMACION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0/EXCEL/PETI%2010%20DESARROLLO%20CENTROS%20DE%20INTELIGENCIA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0/EXCEL/PETI%2010%20DESARROLLO%20CENTROS%20DE%20INTELIGENCIA.xlsx" TargetMode="External"/><Relationship Id="rId1" Type="http://schemas.openxmlformats.org/officeDocument/2006/relationships/externalLinkPath" Target="/personal/luis_montenegro_cundinamarca_gov_co/Documents/2025%20TIC/PROYECTOS%20TI/PETI/PETI%2010/EXCEL/PETI%2010%20DESARROLLO%20CENTROS%20DE%20INTELIGENCIA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1/EXCEL/PETI%2011%20MODERNIZACION%20CANALES%20DE%20ATECION%20Y%20MIGRACION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1/EXCEL/PETI%2011%20MODERNIZACION%20CANALES%20DE%20ATECION%20Y%20MIGRACION.xlsx" TargetMode="External"/><Relationship Id="rId1" Type="http://schemas.openxmlformats.org/officeDocument/2006/relationships/externalLinkPath" Target="/personal/luis_montenegro_cundinamarca_gov_co/Documents/2025%20TIC/PROYECTOS%20TI/PETI/PETI%2011/EXCEL/PETI%2011%20MODERNIZACION%20CANALES%20DE%20ATECION%20Y%20MIGRACION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2/EXCEL/PETI%2012%20FORTALECIMEINTO%20INFRAESTRUCTURATECNOLOGICA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2/EXCEL/PETI%2012%20FORTALECIMEINTO%20INFRAESTRUCTURATECNOLOGICA.xlsx" TargetMode="External"/><Relationship Id="rId1" Type="http://schemas.openxmlformats.org/officeDocument/2006/relationships/externalLinkPath" Target="/personal/luis_montenegro_cundinamarca_gov_co/Documents/2025%20TIC/PROYECTOS%20TI/PETI/PETI%2012/EXCEL/PETI%2012%20FORTALECIMEINTO%20INFRAESTRUCTURATECNOLOGICA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3/EXCEL/PETI%2013%20IMPLEMENTACION%20ARQUITECTURA%20TI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3/EXCEL/PETI%2013%20IMPLEMENTACION%20ARQUITECTURA%20TI.xlsx" TargetMode="External"/><Relationship Id="rId1" Type="http://schemas.openxmlformats.org/officeDocument/2006/relationships/externalLinkPath" Target="/personal/luis_montenegro_cundinamarca_gov_co/Documents/2025%20TIC/PROYECTOS%20TI/PETI/PETI%2013/EXCEL/PETI%2013%20IMPLEMENTACION%20ARQUITECTURA%20TI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4/EXCEL/PETI%2014%20ACTUALIZACION%20CENTRO%20INTERACTIVOS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4/EXCEL/PETI%2014%20ACTUALIZACION%20CENTRO%20INTERACTIVOS.xlsx" TargetMode="External"/><Relationship Id="rId1" Type="http://schemas.openxmlformats.org/officeDocument/2006/relationships/externalLinkPath" Target="/personal/luis_montenegro_cundinamarca_gov_co/Documents/2025%20TIC/PROYECTOS%20TI/PETI/PETI%2014/EXCEL/PETI%2014%20ACTUALIZACION%20CENTRO%20INTERACTIVOS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5/EXCEL/PETI%2015%20TRANSFORMACION%20TECNOLOGICA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5/EXCEL/PETI%2015%20TRANSFORMACION%20TECNOLOGICA.xlsx" TargetMode="External"/><Relationship Id="rId1" Type="http://schemas.openxmlformats.org/officeDocument/2006/relationships/externalLinkPath" Target="/personal/luis_montenegro_cundinamarca_gov_co/Documents/2025%20TIC/PROYECTOS%20TI/PETI/PETI%2015/EXCEL/PETI%2015%20TRANSFORMACION%20TECNOLOGICA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undinamarcatic-my.sharepoint.com/personal/luis_montenegro_cundinamarca_gov_co/Documents/2025%20TIC/PROYECTOS%20TI/PETI/PETI%2016/EXCEL/PETI%2016%20FORTALECER%20Y%20ACTUALIZAR%20S.D.xlsx" TargetMode="External"/><Relationship Id="rId2" Type="http://schemas.openxmlformats.org/officeDocument/2006/relationships/externalLinkPath" Target="https://cundinamarcatic-my.sharepoint.com/personal/luis_montenegro_cundinamarca_gov_co/Documents/2025%20TIC/PROYECTOS%20TI/PETI/PETI%2016/EXCEL/PETI%2016%20FORTALECER%20Y%20ACTUALIZAR%20S.D.xlsx" TargetMode="External"/><Relationship Id="rId1" Type="http://schemas.openxmlformats.org/officeDocument/2006/relationships/externalLinkPath" Target="/personal/luis_montenegro_cundinamarca_gov_co/Documents/2025%20TIC/PROYECTOS%20TI/PETI/PETI%2016/EXCEL/PETI%2016%20FORTALECER%20Y%20ACTUALIZAR%20S.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46OEA7DDLXQJAKGHQ53MFIS4XF">
      <xxl21:absoluteUrl r:id="rId2"/>
      <xxl21:relativeUrl r:id="rId3"/>
    </xxl21:alternateUrls>
    <sheetNames>
      <sheetName val="DATOS"/>
      <sheetName val="AVANCE"/>
      <sheetName val="Informe"/>
      <sheetName val="PETI 01 FORTALECIMIENTO"/>
    </sheetNames>
    <sheetDataSet>
      <sheetData sheetId="0">
        <row r="3">
          <cell r="C3" t="str">
            <v>Fortalecimiento del Talento TI en el departamento de Cundinamarca.</v>
          </cell>
        </row>
        <row r="4">
          <cell r="C4" t="str">
            <v>Capacitar 30.000 personas en Inteligencia Artificial - IA, Block-chain y habilidades digitales, así como el uso de nuevas tecnologías.</v>
          </cell>
        </row>
        <row r="7">
          <cell r="C7" t="str">
            <v>Secretaría de Transformación Digital</v>
          </cell>
        </row>
      </sheetData>
      <sheetData sheetId="1">
        <row r="29">
          <cell r="Y29">
            <v>11</v>
          </cell>
        </row>
        <row r="30">
          <cell r="Y30">
            <v>11</v>
          </cell>
        </row>
        <row r="32">
          <cell r="Y32">
            <v>1</v>
          </cell>
        </row>
        <row r="33">
          <cell r="Y33">
            <v>9.0909090909090912E-2</v>
          </cell>
        </row>
        <row r="34">
          <cell r="Y34">
            <v>20</v>
          </cell>
        </row>
      </sheetData>
      <sheetData sheetId="2">
        <row r="8">
          <cell r="D8">
            <v>0.64000000000000012</v>
          </cell>
          <cell r="E8">
            <v>0.64000000000000012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ZMYV73R6ZFDNG3532OMBUI3LKM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>
        <row r="3">
          <cell r="C3" t="str">
            <v>Actualización del sistema de información normativa del departamento de Cundinamarca.</v>
          </cell>
        </row>
        <row r="4">
          <cell r="C4" t="str">
            <v>Actualizar el sistema de información normativa del Departamento</v>
          </cell>
        </row>
        <row r="7">
          <cell r="C7" t="str">
            <v>SECRETARÍA JURÍDICA</v>
          </cell>
        </row>
      </sheetData>
      <sheetData sheetId="1">
        <row r="17">
          <cell r="Y17">
            <v>5</v>
          </cell>
        </row>
        <row r="18">
          <cell r="Y18">
            <v>4</v>
          </cell>
        </row>
        <row r="20">
          <cell r="Y20">
            <v>0.8</v>
          </cell>
        </row>
        <row r="21">
          <cell r="Y21">
            <v>0</v>
          </cell>
        </row>
        <row r="22">
          <cell r="Y22">
            <v>8</v>
          </cell>
        </row>
      </sheetData>
      <sheetData sheetId="2">
        <row r="6">
          <cell r="C6">
            <v>0.625</v>
          </cell>
          <cell r="D6">
            <v>0.5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ZRU6VT4W6PW5FKGOA6SFOENUSG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16">
          <cell r="Y16">
            <v>5</v>
          </cell>
        </row>
        <row r="17">
          <cell r="Y17">
            <v>5</v>
          </cell>
        </row>
        <row r="19">
          <cell r="Y19">
            <v>1</v>
          </cell>
        </row>
        <row r="20">
          <cell r="Y20">
            <v>1</v>
          </cell>
        </row>
        <row r="21">
          <cell r="Y21">
            <v>7</v>
          </cell>
        </row>
      </sheetData>
      <sheetData sheetId="2">
        <row r="6">
          <cell r="C6">
            <v>0.66</v>
          </cell>
          <cell r="D6">
            <v>0.66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4UENJBPSU27FCLMNB6IMVHERDR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17">
          <cell r="Y17">
            <v>6</v>
          </cell>
        </row>
        <row r="18">
          <cell r="Y18">
            <v>6</v>
          </cell>
        </row>
        <row r="20">
          <cell r="Y20">
            <v>1</v>
          </cell>
        </row>
        <row r="21">
          <cell r="Y21">
            <v>1</v>
          </cell>
        </row>
        <row r="22">
          <cell r="Y22">
            <v>8</v>
          </cell>
        </row>
      </sheetData>
      <sheetData sheetId="2">
        <row r="6">
          <cell r="C6">
            <v>0.60089760000000003</v>
          </cell>
          <cell r="D6">
            <v>0.60089760000000003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3IJCHEWLQOPFFJHMMHSAH5LA3N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14">
          <cell r="Y14">
            <v>4</v>
          </cell>
        </row>
        <row r="15">
          <cell r="Y15">
            <v>4</v>
          </cell>
        </row>
        <row r="17">
          <cell r="Y17">
            <v>1</v>
          </cell>
        </row>
        <row r="18">
          <cell r="Y18">
            <v>0.5</v>
          </cell>
        </row>
        <row r="19">
          <cell r="Y19">
            <v>4</v>
          </cell>
        </row>
      </sheetData>
      <sheetData sheetId="2">
        <row r="6">
          <cell r="C6">
            <v>1</v>
          </cell>
          <cell r="D6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7SNYSE4MFZAJFL3RO3KCIADWPF">
      <xxl21:absoluteUrl r:id="rId2"/>
      <xxl21:relativeUrl r:id="rId3"/>
    </xxl21:alternateUrls>
    <sheetNames>
      <sheetName val="DATOS"/>
      <sheetName val="AVANCE"/>
      <sheetName val="Informe"/>
    </sheetNames>
    <sheetDataSet>
      <sheetData sheetId="0"/>
      <sheetData sheetId="1">
        <row r="32">
          <cell r="Y32">
            <v>7</v>
          </cell>
        </row>
        <row r="33">
          <cell r="Y33">
            <v>5</v>
          </cell>
        </row>
        <row r="35">
          <cell r="Y35">
            <v>0.7142857142857143</v>
          </cell>
        </row>
        <row r="36">
          <cell r="Y36">
            <v>0.2</v>
          </cell>
        </row>
        <row r="37">
          <cell r="Y37">
            <v>21</v>
          </cell>
        </row>
      </sheetData>
      <sheetData sheetId="2">
        <row r="8">
          <cell r="D8">
            <v>0.320685</v>
          </cell>
          <cell r="E8">
            <v>0.28263499999999997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3A3GXPMHMNMRG37OAYLQN6UQQG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34">
          <cell r="Y34">
            <v>24</v>
          </cell>
        </row>
        <row r="35">
          <cell r="Y35">
            <v>0</v>
          </cell>
        </row>
        <row r="37">
          <cell r="Y37">
            <v>0</v>
          </cell>
        </row>
        <row r="38">
          <cell r="Y38">
            <v>0</v>
          </cell>
        </row>
        <row r="39">
          <cell r="Y39">
            <v>24</v>
          </cell>
        </row>
      </sheetData>
      <sheetData sheetId="2">
        <row r="6">
          <cell r="C6">
            <v>1</v>
          </cell>
          <cell r="D6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Y5ELYBMKV5PND3Q55KHDR7FZMN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26">
          <cell r="Y26">
            <v>16</v>
          </cell>
        </row>
        <row r="27">
          <cell r="Y27">
            <v>0</v>
          </cell>
        </row>
        <row r="29">
          <cell r="Y29">
            <v>0</v>
          </cell>
        </row>
        <row r="30">
          <cell r="Y30">
            <v>0</v>
          </cell>
        </row>
        <row r="31">
          <cell r="Y31">
            <v>16</v>
          </cell>
        </row>
      </sheetData>
      <sheetData sheetId="2">
        <row r="6">
          <cell r="C6">
            <v>1</v>
          </cell>
          <cell r="D6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4XAJ6IUXPMY5EIQULXP7LKUCE5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31">
          <cell r="Y31">
            <v>21</v>
          </cell>
        </row>
        <row r="32">
          <cell r="Y32">
            <v>21</v>
          </cell>
        </row>
        <row r="34">
          <cell r="Y34">
            <v>1</v>
          </cell>
        </row>
        <row r="35">
          <cell r="Y35">
            <v>0.80952380952380953</v>
          </cell>
        </row>
        <row r="36">
          <cell r="Y36">
            <v>21</v>
          </cell>
        </row>
      </sheetData>
      <sheetData sheetId="2">
        <row r="6">
          <cell r="C6">
            <v>1</v>
          </cell>
          <cell r="D6">
            <v>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YIPVGH6MCIA5C2V5TABTMPPY4C">
      <xxl21:absoluteUrl r:id="rId2"/>
      <xxl21:relativeUrl r:id="rId3"/>
    </xxl21:alternateUrls>
    <sheetNames>
      <sheetName val="DATOS"/>
      <sheetName val="AVANCE"/>
      <sheetName val="INFORME 1"/>
      <sheetName val="IAVANCE"/>
    </sheetNames>
    <sheetDataSet>
      <sheetData sheetId="0"/>
      <sheetData sheetId="1">
        <row r="13">
          <cell r="Y13">
            <v>1</v>
          </cell>
        </row>
        <row r="14">
          <cell r="Y14">
            <v>1</v>
          </cell>
        </row>
        <row r="16">
          <cell r="Y16">
            <v>1</v>
          </cell>
        </row>
        <row r="17">
          <cell r="Y17">
            <v>0</v>
          </cell>
        </row>
        <row r="18">
          <cell r="Y18">
            <v>2</v>
          </cell>
        </row>
      </sheetData>
      <sheetData sheetId="2">
        <row r="6">
          <cell r="C6">
            <v>0.5</v>
          </cell>
          <cell r="D6">
            <v>0.5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5EVKYDHCTE6BHZQ7GLVV63C6ET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13">
          <cell r="Y13">
            <v>2</v>
          </cell>
        </row>
        <row r="14">
          <cell r="Y14">
            <v>2</v>
          </cell>
        </row>
        <row r="16">
          <cell r="Y16">
            <v>1</v>
          </cell>
        </row>
        <row r="17">
          <cell r="Y17">
            <v>1</v>
          </cell>
        </row>
        <row r="18">
          <cell r="Y18">
            <v>3</v>
          </cell>
        </row>
      </sheetData>
      <sheetData sheetId="2">
        <row r="6">
          <cell r="C6">
            <v>0.68</v>
          </cell>
          <cell r="D6">
            <v>0.68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566QL5UTGMBFDIF4WUCW3ARPQ5">
      <xxl21:absoluteUrl r:id="rId2"/>
      <xxl21:relativeUrl r:id="rId3"/>
    </xxl21:alternateUrls>
    <sheetNames>
      <sheetName val="DATOS"/>
      <sheetName val="AVANCE"/>
      <sheetName val="INFORME 1"/>
      <sheetName val="PETI 12 FORTALECIMEINTO INFRAES"/>
    </sheetNames>
    <sheetDataSet>
      <sheetData sheetId="0"/>
      <sheetData sheetId="1">
        <row r="11">
          <cell r="Y11">
            <v>0</v>
          </cell>
        </row>
        <row r="12">
          <cell r="Y12">
            <v>0</v>
          </cell>
        </row>
        <row r="14">
          <cell r="Y14">
            <v>0</v>
          </cell>
        </row>
        <row r="15">
          <cell r="Y15">
            <v>0</v>
          </cell>
        </row>
        <row r="16">
          <cell r="Y16">
            <v>2</v>
          </cell>
        </row>
      </sheetData>
      <sheetData sheetId="2">
        <row r="6">
          <cell r="C6">
            <v>0</v>
          </cell>
          <cell r="D6">
            <v>0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723TT4TML6NBG3CXCPHDVGJLQC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13">
          <cell r="Y13">
            <v>2</v>
          </cell>
        </row>
        <row r="14">
          <cell r="Y14">
            <v>2</v>
          </cell>
        </row>
        <row r="16">
          <cell r="Y16">
            <v>1</v>
          </cell>
        </row>
        <row r="18">
          <cell r="Y18">
            <v>3</v>
          </cell>
        </row>
      </sheetData>
      <sheetData sheetId="2">
        <row r="6">
          <cell r="D6">
            <v>1</v>
          </cell>
        </row>
        <row r="8">
          <cell r="C8">
            <v>0.8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4WDTNAGMONYJGKLD6GJRT7SKO4">
      <xxl21:absoluteUrl r:id="rId2"/>
      <xxl21:relativeUrl r:id="rId3"/>
    </xxl21:alternateUrls>
    <sheetNames>
      <sheetName val="DATOS"/>
      <sheetName val="AVANCE"/>
      <sheetName val="Informe"/>
    </sheetNames>
    <sheetDataSet>
      <sheetData sheetId="0"/>
      <sheetData sheetId="1">
        <row r="26">
          <cell r="Y26">
            <v>4</v>
          </cell>
        </row>
        <row r="27">
          <cell r="Y27">
            <v>4</v>
          </cell>
        </row>
        <row r="29">
          <cell r="Y29">
            <v>1</v>
          </cell>
        </row>
        <row r="30">
          <cell r="Y30">
            <v>0.75</v>
          </cell>
        </row>
        <row r="31">
          <cell r="Y31">
            <v>16</v>
          </cell>
        </row>
      </sheetData>
      <sheetData sheetId="2">
        <row r="7">
          <cell r="D7">
            <v>0.25</v>
          </cell>
          <cell r="E7">
            <v>0.25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5HDRZH4ZNT7NHKZDJBM5JKUFBB">
      <xxl21:absoluteUrl r:id="rId2"/>
      <xxl21:relativeUrl r:id="rId3"/>
    </xxl21:alternateUrls>
    <sheetNames>
      <sheetName val="DATOS"/>
      <sheetName val="AVANCE"/>
      <sheetName val="INFORME 1"/>
    </sheetNames>
    <sheetDataSet>
      <sheetData sheetId="0"/>
      <sheetData sheetId="1">
        <row r="30">
          <cell r="Y30">
            <v>7</v>
          </cell>
        </row>
        <row r="31">
          <cell r="Y31">
            <v>5</v>
          </cell>
        </row>
        <row r="33">
          <cell r="Y33">
            <v>0.7142857142857143</v>
          </cell>
        </row>
        <row r="34">
          <cell r="Y34">
            <v>0</v>
          </cell>
        </row>
        <row r="35">
          <cell r="Y35">
            <v>20</v>
          </cell>
        </row>
      </sheetData>
      <sheetData sheetId="2">
        <row r="6">
          <cell r="C6">
            <v>0.35</v>
          </cell>
          <cell r="D6">
            <v>0.25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vvC1W_3SxUO4-XXNkKCsl3p4X9r4KGhBpELCZ6cxchOiVtuq2bbERbIUppFSMGAV" itemId="01L36XYDZ2KQRAYAPBBFB3K4INERLHJHHK">
      <xxl21:absoluteUrl r:id="rId2"/>
      <xxl21:relativeUrl r:id="rId3"/>
    </xxl21:alternateUrls>
    <sheetNames>
      <sheetName val="DATOS"/>
      <sheetName val="AVANCE"/>
      <sheetName val="INFORME 1"/>
      <sheetName val="PETI 16 FORTALECER Y ACTUALIZAR"/>
    </sheetNames>
    <sheetDataSet>
      <sheetData sheetId="0">
        <row r="6">
          <cell r="C6" t="str">
            <v>Secretaria de Transformación Digital</v>
          </cell>
        </row>
      </sheetData>
      <sheetData sheetId="1">
        <row r="18">
          <cell r="Y18">
            <v>4</v>
          </cell>
        </row>
        <row r="19">
          <cell r="Y19">
            <v>4</v>
          </cell>
        </row>
        <row r="21">
          <cell r="Y21">
            <v>1</v>
          </cell>
        </row>
        <row r="22">
          <cell r="Y22">
            <v>0</v>
          </cell>
        </row>
        <row r="23">
          <cell r="Y23">
            <v>8</v>
          </cell>
        </row>
      </sheetData>
      <sheetData sheetId="2">
        <row r="6">
          <cell r="C6">
            <v>0.55999999999999994</v>
          </cell>
          <cell r="D6">
            <v>0.55999999999999994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21"/>
  <sheetViews>
    <sheetView tabSelected="1" topLeftCell="D14" zoomScale="80" zoomScaleNormal="80" workbookViewId="0">
      <selection activeCell="J21" sqref="J21"/>
    </sheetView>
  </sheetViews>
  <sheetFormatPr defaultColWidth="9" defaultRowHeight="15"/>
  <cols>
    <col min="1" max="1" width="3.42578125" style="3" customWidth="1"/>
    <col min="2" max="2" width="5.140625" style="3" bestFit="1" customWidth="1"/>
    <col min="3" max="4" width="52.28515625" style="3" customWidth="1"/>
    <col min="5" max="5" width="12" style="3" customWidth="1"/>
    <col min="6" max="6" width="7.42578125" style="3" customWidth="1"/>
    <col min="7" max="7" width="10" style="3" customWidth="1"/>
    <col min="8" max="8" width="11" style="3" customWidth="1"/>
    <col min="9" max="9" width="16.5703125" style="39" bestFit="1" customWidth="1"/>
    <col min="10" max="10" width="16.5703125" style="39" customWidth="1"/>
    <col min="11" max="11" width="18.5703125" style="39" bestFit="1" customWidth="1"/>
    <col min="12" max="13" width="18.5703125" style="3" customWidth="1"/>
    <col min="14" max="14" width="33.140625" style="3" bestFit="1" customWidth="1"/>
    <col min="15" max="15" width="31.42578125" style="3" customWidth="1"/>
    <col min="16" max="16384" width="9" style="3"/>
  </cols>
  <sheetData>
    <row r="2" spans="2:15">
      <c r="C2" s="2" t="s">
        <v>0</v>
      </c>
      <c r="D2" s="25" t="s">
        <v>1</v>
      </c>
    </row>
    <row r="3" spans="2:15">
      <c r="C3" s="2"/>
      <c r="D3" s="1">
        <f ca="1">TODAY()</f>
        <v>46177</v>
      </c>
    </row>
    <row r="4" spans="2:15" s="38" customFormat="1" ht="43.5">
      <c r="B4" s="33" t="s">
        <v>2</v>
      </c>
      <c r="C4" s="34" t="s">
        <v>3</v>
      </c>
      <c r="D4" s="34" t="s">
        <v>4</v>
      </c>
      <c r="E4" s="35" t="s">
        <v>5</v>
      </c>
      <c r="F4" s="33" t="s">
        <v>6</v>
      </c>
      <c r="G4" s="33" t="s">
        <v>7</v>
      </c>
      <c r="H4" s="33" t="s">
        <v>8</v>
      </c>
      <c r="I4" s="44" t="s">
        <v>9</v>
      </c>
      <c r="J4" s="31" t="s">
        <v>10</v>
      </c>
      <c r="K4" s="32" t="s">
        <v>11</v>
      </c>
      <c r="L4" s="33" t="s">
        <v>12</v>
      </c>
      <c r="M4" s="36" t="s">
        <v>13</v>
      </c>
      <c r="N4" s="37" t="s">
        <v>14</v>
      </c>
      <c r="O4" s="37" t="s">
        <v>15</v>
      </c>
    </row>
    <row r="5" spans="2:15" ht="45.75">
      <c r="B5" s="4" t="s">
        <v>16</v>
      </c>
      <c r="C5" s="4" t="str">
        <f>[1]DATOS!$C$3</f>
        <v>Fortalecimiento del Talento TI en el departamento de Cundinamarca.</v>
      </c>
      <c r="D5" s="5" t="str">
        <f>[1]DATOS!$C$4</f>
        <v>Capacitar 30.000 personas en Inteligencia Artificial - IA, Block-chain y habilidades digitales, así como el uso de nuevas tecnologías.</v>
      </c>
      <c r="E5" s="6">
        <f>[1]Informe!$D$8</f>
        <v>0.64000000000000012</v>
      </c>
      <c r="F5" s="6">
        <f>[1]Informe!$E$8</f>
        <v>0.64000000000000012</v>
      </c>
      <c r="G5" s="6">
        <f>E5-F5</f>
        <v>0</v>
      </c>
      <c r="H5" s="4" t="str">
        <f>IF(G5&gt;0,"ATRASO","EN TIEMPO")</f>
        <v>EN TIEMPO</v>
      </c>
      <c r="I5" s="40">
        <f>[1]AVANCE!$Y$34</f>
        <v>20</v>
      </c>
      <c r="J5" s="40">
        <f>[1]AVANCE!$Y$29</f>
        <v>11</v>
      </c>
      <c r="K5" s="40">
        <f>[1]AVANCE!$Y$30</f>
        <v>11</v>
      </c>
      <c r="L5" s="26">
        <f>[1]AVANCE!$Y$32</f>
        <v>1</v>
      </c>
      <c r="M5" s="6">
        <f>[1]AVANCE!$Y$33</f>
        <v>9.0909090909090912E-2</v>
      </c>
      <c r="N5" s="5" t="str">
        <f>[1]DATOS!$C$7</f>
        <v>Secretaría de Transformación Digital</v>
      </c>
      <c r="O5" s="28" t="s">
        <v>17</v>
      </c>
    </row>
    <row r="6" spans="2:15" ht="30.75">
      <c r="B6" s="4" t="s">
        <v>18</v>
      </c>
      <c r="C6" s="5" t="str">
        <f>[2]DATOS!$C$3</f>
        <v>Actualización del sistema de información normativa del departamento de Cundinamarca.</v>
      </c>
      <c r="D6" s="5" t="str">
        <f>[2]DATOS!$C$4</f>
        <v>Actualizar el sistema de información normativa del Departamento</v>
      </c>
      <c r="E6" s="6">
        <f>'[2]INFORME 1'!$C$6</f>
        <v>0.625</v>
      </c>
      <c r="F6" s="6">
        <f>'[2]INFORME 1'!$D$6</f>
        <v>0.5</v>
      </c>
      <c r="G6" s="6">
        <f t="shared" ref="G6:G20" si="0">E6-F6</f>
        <v>0.125</v>
      </c>
      <c r="H6" s="4" t="str">
        <f>IF(G6&gt;0,"ATRASO","EN TIEMPO")</f>
        <v>ATRASO</v>
      </c>
      <c r="I6" s="41">
        <f>[2]AVANCE!$Y$22</f>
        <v>8</v>
      </c>
      <c r="J6" s="41">
        <f>[2]AVANCE!$Y$17</f>
        <v>5</v>
      </c>
      <c r="K6" s="41">
        <f>[2]AVANCE!$Y$18</f>
        <v>4</v>
      </c>
      <c r="L6" s="27">
        <f>[2]AVANCE!$Y$20</f>
        <v>0.8</v>
      </c>
      <c r="M6" s="6">
        <f>[2]AVANCE!$Y$21</f>
        <v>0</v>
      </c>
      <c r="N6" s="5" t="str">
        <f>[2]DATOS!$C$7</f>
        <v>SECRETARÍA JURÍDICA</v>
      </c>
      <c r="O6" s="28" t="s">
        <v>19</v>
      </c>
    </row>
    <row r="7" spans="2:15" ht="60.75">
      <c r="B7" s="7" t="s">
        <v>20</v>
      </c>
      <c r="C7" s="8" t="s">
        <v>21</v>
      </c>
      <c r="D7" s="8" t="s">
        <v>22</v>
      </c>
      <c r="E7" s="9">
        <f>'[3]INFORME 1'!$C$6</f>
        <v>0.66</v>
      </c>
      <c r="F7" s="9">
        <f>'[3]INFORME 1'!$D$6</f>
        <v>0.66</v>
      </c>
      <c r="G7" s="6">
        <f t="shared" si="0"/>
        <v>0</v>
      </c>
      <c r="H7" s="4" t="str">
        <f>IF(G7&gt;0,"ATRASO","EN TIEMPO")</f>
        <v>EN TIEMPO</v>
      </c>
      <c r="I7" s="42">
        <f>[3]AVANCE!$Y$21</f>
        <v>7</v>
      </c>
      <c r="J7" s="42">
        <f>[3]AVANCE!$Y$16</f>
        <v>5</v>
      </c>
      <c r="K7" s="42">
        <f>[3]AVANCE!$Y$17</f>
        <v>5</v>
      </c>
      <c r="L7" s="9">
        <f>[3]AVANCE!$Y$19</f>
        <v>1</v>
      </c>
      <c r="M7" s="17">
        <f>[3]AVANCE!$Y$20</f>
        <v>1</v>
      </c>
      <c r="N7" s="16" t="s">
        <v>23</v>
      </c>
      <c r="O7" s="28" t="s">
        <v>24</v>
      </c>
    </row>
    <row r="8" spans="2:15" ht="60.75">
      <c r="B8" s="7" t="s">
        <v>25</v>
      </c>
      <c r="C8" s="8" t="s">
        <v>26</v>
      </c>
      <c r="D8" s="8" t="s">
        <v>27</v>
      </c>
      <c r="E8" s="9">
        <f>'[4]INFORME 1'!$C$6</f>
        <v>0.60089760000000003</v>
      </c>
      <c r="F8" s="9">
        <f>'[4]INFORME 1'!$D$6</f>
        <v>0.60089760000000003</v>
      </c>
      <c r="G8" s="6">
        <f t="shared" si="0"/>
        <v>0</v>
      </c>
      <c r="H8" s="4" t="str">
        <f>IF(G8&gt;0,"ATRASO","EN TIEMPO")</f>
        <v>EN TIEMPO</v>
      </c>
      <c r="I8" s="42">
        <f>[4]AVANCE!$Y$22</f>
        <v>8</v>
      </c>
      <c r="J8" s="42">
        <f>[4]AVANCE!$Y$17</f>
        <v>6</v>
      </c>
      <c r="K8" s="42">
        <f>[4]AVANCE!$Y$18</f>
        <v>6</v>
      </c>
      <c r="L8" s="9">
        <f>[4]AVANCE!$Y$20</f>
        <v>1</v>
      </c>
      <c r="M8" s="17">
        <f>[4]AVANCE!$Y$21</f>
        <v>1</v>
      </c>
      <c r="N8" s="16" t="s">
        <v>23</v>
      </c>
      <c r="O8" s="28" t="s">
        <v>24</v>
      </c>
    </row>
    <row r="9" spans="2:15" ht="60.75">
      <c r="B9" s="10" t="s">
        <v>28</v>
      </c>
      <c r="C9" s="11" t="s">
        <v>29</v>
      </c>
      <c r="D9" s="11" t="s">
        <v>30</v>
      </c>
      <c r="E9" s="6">
        <f>'[5]INFORME 1'!$C$6</f>
        <v>1</v>
      </c>
      <c r="F9" s="6">
        <f>'[5]INFORME 1'!$D$6</f>
        <v>1</v>
      </c>
      <c r="G9" s="6">
        <f t="shared" si="0"/>
        <v>0</v>
      </c>
      <c r="H9" s="4" t="str">
        <f t="shared" ref="H9:H20" si="1">IF(G9&gt;0,"ATRASO","EN TIEMPO")</f>
        <v>EN TIEMPO</v>
      </c>
      <c r="I9" s="43">
        <f>[5]AVANCE!$Y$19</f>
        <v>4</v>
      </c>
      <c r="J9" s="43">
        <f>[5]AVANCE!$Y$14</f>
        <v>4</v>
      </c>
      <c r="K9" s="43">
        <f>[5]AVANCE!$Y$15</f>
        <v>4</v>
      </c>
      <c r="L9" s="6">
        <f>[5]AVANCE!$Y$17</f>
        <v>1</v>
      </c>
      <c r="M9" s="13">
        <f>[5]AVANCE!$Y$18</f>
        <v>0.5</v>
      </c>
      <c r="N9" s="5" t="s">
        <v>31</v>
      </c>
      <c r="O9" s="28" t="s">
        <v>32</v>
      </c>
    </row>
    <row r="10" spans="2:15" ht="47.25" customHeight="1">
      <c r="B10" s="4" t="s">
        <v>33</v>
      </c>
      <c r="C10" s="12" t="s">
        <v>34</v>
      </c>
      <c r="D10" s="5" t="s">
        <v>35</v>
      </c>
      <c r="E10" s="13">
        <f>[6]Informe!$D$8</f>
        <v>0.320685</v>
      </c>
      <c r="F10" s="6">
        <f>[6]Informe!$E$8</f>
        <v>0.28263499999999997</v>
      </c>
      <c r="G10" s="6">
        <f t="shared" si="0"/>
        <v>3.8050000000000028E-2</v>
      </c>
      <c r="H10" s="4" t="str">
        <f t="shared" si="1"/>
        <v>ATRASO</v>
      </c>
      <c r="I10" s="43">
        <f>[6]AVANCE!$Y$37</f>
        <v>21</v>
      </c>
      <c r="J10" s="43">
        <f>[6]AVANCE!$Y$32</f>
        <v>7</v>
      </c>
      <c r="K10" s="43">
        <f>[6]AVANCE!$Y$33</f>
        <v>5</v>
      </c>
      <c r="L10" s="6">
        <f>[6]AVANCE!$Y$35</f>
        <v>0.7142857142857143</v>
      </c>
      <c r="M10" s="13">
        <f>[6]AVANCE!$Y$36</f>
        <v>0.2</v>
      </c>
      <c r="N10" s="5" t="s">
        <v>36</v>
      </c>
      <c r="O10" s="28" t="s">
        <v>37</v>
      </c>
    </row>
    <row r="11" spans="2:15" ht="45.75">
      <c r="B11" s="14" t="s">
        <v>38</v>
      </c>
      <c r="C11" s="15" t="s">
        <v>39</v>
      </c>
      <c r="D11" s="16" t="s">
        <v>40</v>
      </c>
      <c r="E11" s="17">
        <f>'[7]INFORME 1'!$C$6</f>
        <v>1</v>
      </c>
      <c r="F11" s="9">
        <f>'[7]INFORME 1'!$D$6</f>
        <v>0</v>
      </c>
      <c r="G11" s="6">
        <f t="shared" si="0"/>
        <v>1</v>
      </c>
      <c r="H11" s="4" t="str">
        <f t="shared" si="1"/>
        <v>ATRASO</v>
      </c>
      <c r="I11" s="42">
        <f>[7]AVANCE!$Y$39</f>
        <v>24</v>
      </c>
      <c r="J11" s="42">
        <f>[7]AVANCE!$Y$34</f>
        <v>24</v>
      </c>
      <c r="K11" s="42">
        <f>[7]AVANCE!$Y$35</f>
        <v>0</v>
      </c>
      <c r="L11" s="9">
        <f>[7]AVANCE!$Y$37</f>
        <v>0</v>
      </c>
      <c r="M11" s="17">
        <f>[7]AVANCE!$Y$38</f>
        <v>0</v>
      </c>
      <c r="N11" s="5" t="s">
        <v>41</v>
      </c>
      <c r="O11" s="28" t="s">
        <v>42</v>
      </c>
    </row>
    <row r="12" spans="2:15" ht="45.75">
      <c r="B12" s="14" t="s">
        <v>43</v>
      </c>
      <c r="C12" s="15" t="s">
        <v>39</v>
      </c>
      <c r="D12" s="16" t="s">
        <v>44</v>
      </c>
      <c r="E12" s="17">
        <f>'[8]INFORME 1'!$C$6</f>
        <v>1</v>
      </c>
      <c r="F12" s="9">
        <f>'[8]INFORME 1'!$D$6</f>
        <v>0</v>
      </c>
      <c r="G12" s="6">
        <f t="shared" si="0"/>
        <v>1</v>
      </c>
      <c r="H12" s="4" t="str">
        <f t="shared" si="1"/>
        <v>ATRASO</v>
      </c>
      <c r="I12" s="42">
        <f>[8]AVANCE!$Y$31</f>
        <v>16</v>
      </c>
      <c r="J12" s="42">
        <f>[8]AVANCE!$Y$26</f>
        <v>16</v>
      </c>
      <c r="K12" s="42">
        <f>[8]AVANCE!$Y$27</f>
        <v>0</v>
      </c>
      <c r="L12" s="9">
        <f>[8]AVANCE!$Y$29</f>
        <v>0</v>
      </c>
      <c r="M12" s="17">
        <f>[8]AVANCE!$Y$30</f>
        <v>0</v>
      </c>
      <c r="N12" s="5" t="s">
        <v>41</v>
      </c>
      <c r="O12" s="28" t="s">
        <v>42</v>
      </c>
    </row>
    <row r="13" spans="2:15" ht="45.75">
      <c r="B13" s="4" t="s">
        <v>45</v>
      </c>
      <c r="C13" s="12" t="s">
        <v>46</v>
      </c>
      <c r="D13" s="5" t="s">
        <v>47</v>
      </c>
      <c r="E13" s="13">
        <f>'[9]INFORME 1'!$C$6</f>
        <v>1</v>
      </c>
      <c r="F13" s="6">
        <f>'[9]INFORME 1'!$D$6</f>
        <v>1</v>
      </c>
      <c r="G13" s="6">
        <f t="shared" si="0"/>
        <v>0</v>
      </c>
      <c r="H13" s="4" t="str">
        <f t="shared" si="1"/>
        <v>EN TIEMPO</v>
      </c>
      <c r="I13" s="43">
        <f>[9]AVANCE!$Y$36</f>
        <v>21</v>
      </c>
      <c r="J13" s="43">
        <f>[9]AVANCE!$Y$31</f>
        <v>21</v>
      </c>
      <c r="K13" s="43">
        <f>[9]AVANCE!$Y$32</f>
        <v>21</v>
      </c>
      <c r="L13" s="6">
        <f>[9]AVANCE!$Y$34</f>
        <v>1</v>
      </c>
      <c r="M13" s="13">
        <f>[9]AVANCE!$Y$35</f>
        <v>0.80952380952380953</v>
      </c>
      <c r="N13" s="5" t="s">
        <v>48</v>
      </c>
      <c r="O13" s="28" t="s">
        <v>49</v>
      </c>
    </row>
    <row r="14" spans="2:15" ht="30.75">
      <c r="B14" s="4" t="s">
        <v>50</v>
      </c>
      <c r="C14" s="12" t="s">
        <v>51</v>
      </c>
      <c r="D14" s="5" t="s">
        <v>52</v>
      </c>
      <c r="E14" s="13">
        <f>'[10]INFORME 1'!$C$6</f>
        <v>0.5</v>
      </c>
      <c r="F14" s="6">
        <f>'[10]INFORME 1'!$D$6</f>
        <v>0.5</v>
      </c>
      <c r="G14" s="6">
        <f t="shared" si="0"/>
        <v>0</v>
      </c>
      <c r="H14" s="4" t="str">
        <f t="shared" si="1"/>
        <v>EN TIEMPO</v>
      </c>
      <c r="I14" s="43">
        <f>[10]AVANCE!$Y$18</f>
        <v>2</v>
      </c>
      <c r="J14" s="43">
        <f>[10]AVANCE!$Y$13</f>
        <v>1</v>
      </c>
      <c r="K14" s="43">
        <f>[10]AVANCE!$Y$14</f>
        <v>1</v>
      </c>
      <c r="L14" s="6">
        <f>[10]AVANCE!$Y$16</f>
        <v>1</v>
      </c>
      <c r="M14" s="13">
        <f>[10]AVANCE!$Y$17</f>
        <v>0</v>
      </c>
      <c r="N14" s="5" t="s">
        <v>53</v>
      </c>
      <c r="O14" s="28" t="s">
        <v>54</v>
      </c>
    </row>
    <row r="15" spans="2:15" ht="48.75" customHeight="1">
      <c r="B15" s="18" t="s">
        <v>55</v>
      </c>
      <c r="C15" s="19" t="s">
        <v>56</v>
      </c>
      <c r="D15" s="20" t="s">
        <v>57</v>
      </c>
      <c r="E15" s="17">
        <f>'[11]INFORME 1'!$C$6</f>
        <v>0.68</v>
      </c>
      <c r="F15" s="9">
        <f>'[11]INFORME 1'!$D$6</f>
        <v>0.68</v>
      </c>
      <c r="G15" s="6">
        <f t="shared" si="0"/>
        <v>0</v>
      </c>
      <c r="H15" s="4" t="str">
        <f t="shared" si="1"/>
        <v>EN TIEMPO</v>
      </c>
      <c r="I15" s="42">
        <f>[11]AVANCE!$Y$18</f>
        <v>3</v>
      </c>
      <c r="J15" s="42">
        <f>[11]AVANCE!$Y$13</f>
        <v>2</v>
      </c>
      <c r="K15" s="42">
        <f>[11]AVANCE!$Y$14</f>
        <v>2</v>
      </c>
      <c r="L15" s="9">
        <f>[11]AVANCE!$Y$16</f>
        <v>1</v>
      </c>
      <c r="M15" s="17">
        <f>[11]AVANCE!$Y$17</f>
        <v>1</v>
      </c>
      <c r="N15" s="5" t="s">
        <v>23</v>
      </c>
      <c r="O15" s="28" t="s">
        <v>24</v>
      </c>
    </row>
    <row r="16" spans="2:15" ht="51" customHeight="1">
      <c r="B16" s="18" t="s">
        <v>58</v>
      </c>
      <c r="C16" s="19" t="s">
        <v>59</v>
      </c>
      <c r="D16" s="20" t="s">
        <v>60</v>
      </c>
      <c r="E16" s="17">
        <f>'[12]INFORME 1'!$C$6</f>
        <v>0</v>
      </c>
      <c r="F16" s="9">
        <f>'[12]INFORME 1'!$D$6</f>
        <v>0</v>
      </c>
      <c r="G16" s="6">
        <f t="shared" si="0"/>
        <v>0</v>
      </c>
      <c r="H16" s="4" t="str">
        <f t="shared" si="1"/>
        <v>EN TIEMPO</v>
      </c>
      <c r="I16" s="42">
        <f>[12]AVANCE!$Y$16</f>
        <v>2</v>
      </c>
      <c r="J16" s="42">
        <f>[12]AVANCE!$Y$11</f>
        <v>0</v>
      </c>
      <c r="K16" s="42">
        <f>[12]AVANCE!$Y$12</f>
        <v>0</v>
      </c>
      <c r="L16" s="9">
        <f>[12]AVANCE!$Y$14</f>
        <v>0</v>
      </c>
      <c r="M16" s="17">
        <f>[12]AVANCE!$Y$15</f>
        <v>0</v>
      </c>
      <c r="N16" s="5" t="s">
        <v>23</v>
      </c>
      <c r="O16" s="28" t="s">
        <v>24</v>
      </c>
    </row>
    <row r="17" spans="2:15" ht="45.75">
      <c r="B17" s="4" t="s">
        <v>61</v>
      </c>
      <c r="C17" s="12" t="s">
        <v>62</v>
      </c>
      <c r="D17" s="5" t="s">
        <v>63</v>
      </c>
      <c r="E17" s="13">
        <f>'[13]INFORME 1'!$C$8</f>
        <v>0.8</v>
      </c>
      <c r="F17" s="6">
        <f>'[13]INFORME 1'!$D$6</f>
        <v>1</v>
      </c>
      <c r="G17" s="6">
        <f t="shared" si="0"/>
        <v>-0.19999999999999996</v>
      </c>
      <c r="H17" s="4" t="str">
        <f t="shared" si="1"/>
        <v>EN TIEMPO</v>
      </c>
      <c r="I17" s="43">
        <f>[13]AVANCE!$Y$18</f>
        <v>3</v>
      </c>
      <c r="J17" s="43">
        <f>[13]AVANCE!$Y$13</f>
        <v>2</v>
      </c>
      <c r="K17" s="43">
        <f>[13]AVANCE!$Y$14</f>
        <v>2</v>
      </c>
      <c r="L17" s="6">
        <f>[13]AVANCE!$Y$16</f>
        <v>1</v>
      </c>
      <c r="M17" s="13">
        <f>'[13]INFORME 1'!$Y$17</f>
        <v>0</v>
      </c>
      <c r="N17" s="4" t="s">
        <v>53</v>
      </c>
      <c r="O17" s="28" t="s">
        <v>64</v>
      </c>
    </row>
    <row r="18" spans="2:15" ht="45.75">
      <c r="B18" s="4" t="s">
        <v>65</v>
      </c>
      <c r="C18" s="12" t="s">
        <v>66</v>
      </c>
      <c r="D18" s="5" t="s">
        <v>67</v>
      </c>
      <c r="E18" s="13">
        <f>[14]Informe!$D$7</f>
        <v>0.25</v>
      </c>
      <c r="F18" s="6">
        <f>[14]Informe!$E$7</f>
        <v>0.25</v>
      </c>
      <c r="G18" s="6">
        <f t="shared" si="0"/>
        <v>0</v>
      </c>
      <c r="H18" s="4" t="str">
        <f t="shared" si="1"/>
        <v>EN TIEMPO</v>
      </c>
      <c r="I18" s="43">
        <f>[14]AVANCE!$Y$31</f>
        <v>16</v>
      </c>
      <c r="J18" s="43">
        <f>[14]AVANCE!$Y$26</f>
        <v>4</v>
      </c>
      <c r="K18" s="43">
        <f>[14]AVANCE!$Y$27</f>
        <v>4</v>
      </c>
      <c r="L18" s="6">
        <f>[14]AVANCE!$Y$29</f>
        <v>1</v>
      </c>
      <c r="M18" s="13">
        <f>[14]AVANCE!$Y$30</f>
        <v>0.75</v>
      </c>
      <c r="N18" s="4" t="s">
        <v>53</v>
      </c>
      <c r="O18" s="29" t="s">
        <v>68</v>
      </c>
    </row>
    <row r="19" spans="2:15" ht="30.75">
      <c r="B19" s="10" t="s">
        <v>69</v>
      </c>
      <c r="C19" s="21" t="s">
        <v>70</v>
      </c>
      <c r="D19" s="11" t="s">
        <v>71</v>
      </c>
      <c r="E19" s="22">
        <f>'[15]INFORME 1'!$C$6</f>
        <v>0.35</v>
      </c>
      <c r="F19" s="23">
        <f>'[15]INFORME 1'!$D$6</f>
        <v>0.25</v>
      </c>
      <c r="G19" s="6">
        <f t="shared" si="0"/>
        <v>9.9999999999999978E-2</v>
      </c>
      <c r="H19" s="10" t="str">
        <f t="shared" si="1"/>
        <v>ATRASO</v>
      </c>
      <c r="I19" s="43">
        <f>[15]AVANCE!$Y$35</f>
        <v>20</v>
      </c>
      <c r="J19" s="43">
        <f>[15]AVANCE!$Y$30</f>
        <v>7</v>
      </c>
      <c r="K19" s="43">
        <f>[15]AVANCE!$Y$31</f>
        <v>5</v>
      </c>
      <c r="L19" s="6">
        <f>[15]AVANCE!$Y$33</f>
        <v>0.7142857142857143</v>
      </c>
      <c r="M19" s="13">
        <f>[15]AVANCE!$Y$34</f>
        <v>0</v>
      </c>
      <c r="N19" s="4" t="s">
        <v>53</v>
      </c>
      <c r="O19" s="30" t="s">
        <v>72</v>
      </c>
    </row>
    <row r="20" spans="2:15" ht="45.75">
      <c r="B20" s="4" t="s">
        <v>73</v>
      </c>
      <c r="C20" s="12" t="s">
        <v>62</v>
      </c>
      <c r="D20" s="11" t="s">
        <v>74</v>
      </c>
      <c r="E20" s="23">
        <f>'[16]INFORME 1'!$C$6</f>
        <v>0.55999999999999994</v>
      </c>
      <c r="F20" s="23">
        <f>'[16]INFORME 1'!$D$6</f>
        <v>0.55999999999999994</v>
      </c>
      <c r="G20" s="23">
        <f t="shared" si="0"/>
        <v>0</v>
      </c>
      <c r="H20" s="4" t="str">
        <f t="shared" si="1"/>
        <v>EN TIEMPO</v>
      </c>
      <c r="I20" s="43">
        <f>[16]AVANCE!$Y$23</f>
        <v>8</v>
      </c>
      <c r="J20" s="43">
        <f>[16]AVANCE!$Y$18</f>
        <v>4</v>
      </c>
      <c r="K20" s="43">
        <f>[16]AVANCE!$Y$19</f>
        <v>4</v>
      </c>
      <c r="L20" s="6">
        <f>[16]AVANCE!$Y$21</f>
        <v>1</v>
      </c>
      <c r="M20" s="22">
        <f>[16]AVANCE!$Y$22</f>
        <v>0</v>
      </c>
      <c r="N20" s="4" t="str">
        <f>[16]DATOS!$C$6</f>
        <v>Secretaria de Transformación Digital</v>
      </c>
      <c r="O20" s="30" t="s">
        <v>72</v>
      </c>
    </row>
    <row r="21" spans="2:15">
      <c r="D21" s="24" t="s">
        <v>75</v>
      </c>
      <c r="E21" s="47">
        <f>AVERAGE(E5:E20)</f>
        <v>0.62416141250000012</v>
      </c>
      <c r="F21" s="47">
        <f>AVERAGE(F5:F20)</f>
        <v>0.49522078749999998</v>
      </c>
      <c r="G21" s="47">
        <f>AVERAGE(G5:G20)</f>
        <v>0.128940625</v>
      </c>
      <c r="I21" s="45">
        <f>SUM(I5:I20)</f>
        <v>183</v>
      </c>
      <c r="J21" s="45">
        <f>SUM(J5:J20)</f>
        <v>119</v>
      </c>
      <c r="K21" s="45">
        <f t="shared" ref="J21:K21" si="2">SUM(K5:K20)</f>
        <v>74</v>
      </c>
      <c r="L21" s="46">
        <f>AVERAGE(L5:L20)</f>
        <v>0.76428571428571423</v>
      </c>
      <c r="M21" s="47">
        <f>AVERAGE(M5:M20)</f>
        <v>0.33440205627705627</v>
      </c>
    </row>
  </sheetData>
  <conditionalFormatting sqref="H5:H21 I21:M21">
    <cfRule type="cellIs" dxfId="1" priority="3" operator="equal">
      <formula>"EN TIEMPO"</formula>
    </cfRule>
    <cfRule type="cellIs" dxfId="0" priority="5" operator="equal">
      <formula>"ATRASO"</formula>
    </cfRule>
  </conditionalFormatting>
  <pageMargins left="0.25" right="0.25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2025-10-31T15:36:13Z</dcterms:created>
  <dcterms:modified xsi:type="dcterms:W3CDTF">2026-06-04T19:20:37Z</dcterms:modified>
  <cp:category/>
  <cp:contentStatus/>
</cp:coreProperties>
</file>