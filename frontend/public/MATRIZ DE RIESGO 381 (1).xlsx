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9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SUS\Desktop\GOBERNACION\RESPONSABLES PROYECTOS PETI\7.JAIME CORTES P09\"/>
    </mc:Choice>
  </mc:AlternateContent>
  <xr:revisionPtr revIDLastSave="0" documentId="8_{CD506361-D45E-439A-BD26-5CABAA6C9B1F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MatrizRiesgos" sheetId="1" r:id="rId1"/>
    <sheet name="Conceptos" sheetId="5" r:id="rId2"/>
    <sheet name="Valoracion" sheetId="4" r:id="rId3"/>
    <sheet name="Ejemplo" sheetId="6" r:id="rId4"/>
  </sheets>
  <definedNames>
    <definedName name="_Bajo" localSheetId="3">Ejemplo!$F$4</definedName>
    <definedName name="_Bajo">MatrizRiesgos!$F$7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13" i="1" l="1"/>
  <c r="F13" i="1" s="1"/>
  <c r="E12" i="1"/>
  <c r="F12" i="1" s="1"/>
  <c r="E11" i="1"/>
  <c r="F11" i="1" s="1"/>
  <c r="E10" i="1"/>
  <c r="F10" i="1" s="1"/>
  <c r="E9" i="1"/>
  <c r="F9" i="1" s="1"/>
  <c r="E8" i="1"/>
  <c r="F8" i="1" s="1"/>
  <c r="E7" i="1"/>
  <c r="F7" i="1" s="1"/>
  <c r="E9" i="6"/>
  <c r="F9" i="6" s="1"/>
  <c r="E8" i="6"/>
  <c r="F8" i="6" s="1"/>
  <c r="E7" i="6"/>
  <c r="F7" i="6" s="1"/>
  <c r="E6" i="6"/>
  <c r="F6" i="6" s="1"/>
  <c r="E5" i="6"/>
  <c r="F5" i="6" s="1"/>
  <c r="E4" i="6"/>
  <c r="F4" i="6" s="1"/>
</calcChain>
</file>

<file path=xl/sharedStrings.xml><?xml version="1.0" encoding="utf-8"?>
<sst xmlns="http://schemas.openxmlformats.org/spreadsheetml/2006/main" count="119" uniqueCount="94">
  <si>
    <t>GESTION TECNOLOGICA</t>
  </si>
  <si>
    <t>Código: A-GT-FR-064</t>
  </si>
  <si>
    <t>MATRIZ DE RIESGOS PARA PROYECTOS DE TI</t>
  </si>
  <si>
    <t>Versión: 3</t>
  </si>
  <si>
    <t>Fechas Aprobación: 03/12/2025</t>
  </si>
  <si>
    <t>N°</t>
  </si>
  <si>
    <t>Descripción del Riesgo</t>
  </si>
  <si>
    <t>Probabilidad</t>
  </si>
  <si>
    <t>Impacto</t>
  </si>
  <si>
    <t xml:space="preserve">Calificación </t>
  </si>
  <si>
    <t>Nivel de Riesgo</t>
  </si>
  <si>
    <t>Como itigar el Riesgo</t>
  </si>
  <si>
    <t>Responsable</t>
  </si>
  <si>
    <t>Acciones realizadas para mitigar el riesgo</t>
  </si>
  <si>
    <t>Fecha de la Acción</t>
  </si>
  <si>
    <t>Ruta Evidencias</t>
  </si>
  <si>
    <t>Insuficiencia presupuestal para mantenimiento y actualización tecnológica</t>
  </si>
  <si>
    <t xml:space="preserve">Expedir los CDPS y Rps para la contratación del servicio de soporte, mantenimiento y actualización </t>
  </si>
  <si>
    <t>Secretaría de Salud</t>
  </si>
  <si>
    <t>Realizar la etapa precontractual de los servicios de soporte, mantenimiento ya ctualización de los HIS</t>
  </si>
  <si>
    <t>CNT PACIENTES SS-CD-PS-660-2025 : https://community.secop.gov.co/Public/Tendering/OpportunityDetail/Index?noticeUID=CO1.NTC.8204527&amp;isFromPublicArea=True&amp;isModal=False
CITISALUS SAS SS-CD-PS-688-2025: https://www.secop.gov.co/CO1BusinessLine/Tendering/ProcedureEdit/View?docUniqueIdentifier=CO1.REQ.8334025&amp;prevCtxUrl=https%3a%2f%2fwww.secop.gov.co%2fCO1BusinessLine%2fTendering%2fBuyerDossierWorkspace%2fIndex%3fallWords2Search%3d688-2025%26createDateFrom%3d12%2f12%2f2024+17%3a13%3a56%26createDateTo%3d12%2f06%2f2025+17%3a13%3a56%26filteringState%3d0%26sortingState%3dLastModifiedDESC%26showAdvancedSearch%3dFalse%26showAdvancedSearchFields%3dFalse%26folderCode%3dALL%26selectedDossier%3dC
SYAC   SS-CD-PS-692-2025: 
https://www.secop.gov.co/CO1ContractsManagement/Tendering/ProcurementContractEdit/Update?ProfileName=CCE-16-Servicios_profesionales_gestion&amp;PPI=CO1.PPI.39779080&amp;DocUniqueName=ContratoDeCompra&amp;DocTypeName=NextWay.Entities.Marketplace.Tendering.ProcurementContract&amp;ProfileVersion=8&amp;DocUniqueIdentifier=CO1.PCCNTR.7926445&amp;prevCtxUrl=https%3a%2f%2fwww.secop.gov.co%2fCO1BusinessLine%2fTendering%2fBuyerDossierWorkspace%2fIndex%3fallWords2Search%3d692-2025%26createDateFrom%3d12%2f12%2f2024+23%3</t>
  </si>
  <si>
    <t>Obsolescencia de equipos, software y sistemas instalados (SIUS, redes, servidores)</t>
  </si>
  <si>
    <t>Implementar plan de renovación tecnológica : contratos de soporte técnico, uso de sistema interoperable y escalable</t>
  </si>
  <si>
    <t>Secretaria de Salud</t>
  </si>
  <si>
    <t>Contratos de soporte, mantenimiento y acrtualización de SIUS</t>
  </si>
  <si>
    <t>https://community.secop.gov.co/Public/Tendering/ContractNoticePhases/View?PPI=CO1.PPI.41007016&amp;isFromPublicArea=True&amp;isModal=False    https://community.secop.gov.co/Public/Tendering/OpportunityDetail/Index?noticeUID=CO1.NTC.9092073&amp;isFromPublicArea=True&amp;isModal=False</t>
  </si>
  <si>
    <t>Falta de personal capacitado para operar y mantener los sistemas TIC</t>
  </si>
  <si>
    <t>Contratación talento humano</t>
  </si>
  <si>
    <t>Contratación de talento humano</t>
  </si>
  <si>
    <t xml:space="preserve">https://community.secop.gov.co/Public/Tendering/OpportunityDetail/Index?noticeUID=CO1.NTC.7489897&amp;isFromPublicArea=True&amp;isModal=False
https://community.secop.gov.co/Public/Tendering/OpportunityDetail/Index?noticeUID=CO1.NTC.7525470&amp;isFromPublicArea=True&amp;isModal=False
https://community.secop.gov.co/Public/Tendering/OpportunityDetail/Index?noticeUID=CO1.NTC.7615241&amp;isFromPublicArea=True&amp;isModal=False
https://community.secop.gov.co/Public/Tendering/OpportunityDetail/Index?noticeUID=CO1.NTC.7588773&amp;isFromPublicArea=True&amp;isModal=False
</t>
  </si>
  <si>
    <t>Desactualización frenrte a las nuevas leyes de interoperabilidad y protección de datos</t>
  </si>
  <si>
    <t>Contratos de soporte, mantenimiento y actualización de sistemas</t>
  </si>
  <si>
    <t>Secretaría de salud</t>
  </si>
  <si>
    <t>Contrato de soporte, mantenimiento y actualización del SIUS</t>
  </si>
  <si>
    <t xml:space="preserve">https://community.secop.gov.co/Public/Tendering/ContractNoticePhases/View?PPI=CO1.PPI.41007016&amp;isFromPublicArea=True&amp;isModal=False
https://community.secop.gov.co/Public/Tendering/OpportunityDetail/Index?noticeUID=CO1.NTC.9092073&amp;isFromPublicArea=True&amp;isModal=False
</t>
  </si>
  <si>
    <t>Fugas, pérdida o uso indebido de datos clínicos</t>
  </si>
  <si>
    <t>Aplicar autenticación, copias de respadlo, auditorias de seguridad</t>
  </si>
  <si>
    <t>Politica de seguridad SIUS</t>
  </si>
  <si>
    <t>CONCEPTOS DE RIESGO SEGÚN PMI (Project Management Institute)</t>
  </si>
  <si>
    <r>
      <t>Riesgo</t>
    </r>
    <r>
      <rPr>
        <b/>
        <sz val="11"/>
        <color theme="1"/>
        <rFont val="Calibri"/>
        <family val="2"/>
        <scheme val="minor"/>
      </rPr>
      <t xml:space="preserve"> </t>
    </r>
  </si>
  <si>
    <t>Es un evento o condición incierta que, si ocurre, puede tener un efecto positivo o negativo en uno o más objetivos del proyecto (alcance, tiempo, costo o calidad).</t>
  </si>
  <si>
    <t>Probabilidad:</t>
  </si>
  <si>
    <t xml:space="preserve"> Mide la posibilidad de que un riesgo ocurra.</t>
  </si>
  <si>
    <t>Impacto:</t>
  </si>
  <si>
    <t xml:space="preserve"> Evalúa el efecto que tendría ese riesgo sobre los objetivos del proyecto (alcance, costo, tiempo, calidad).</t>
  </si>
  <si>
    <t>Matriz de probabilidad e impacto:</t>
  </si>
  <si>
    <t>Herramienta que cruza ambos factores para priorizar riesgos y decidir acciones de mitigación.</t>
  </si>
  <si>
    <t>Valoración de la Probabilidad</t>
  </si>
  <si>
    <t>Puntaje</t>
  </si>
  <si>
    <t>Descripción</t>
  </si>
  <si>
    <t>Raro (puede ocurrir excepcionalmente)</t>
  </si>
  <si>
    <t>Improbable (puede ocurrir ocasionalmente)</t>
  </si>
  <si>
    <t>&lt;</t>
  </si>
  <si>
    <t>Probable (probablemente va a ocurrir)</t>
  </si>
  <si>
    <t>Casi cierto (ocurre en la mayoría de circunstancias)</t>
  </si>
  <si>
    <t>Valoración del Impacto</t>
  </si>
  <si>
    <t>Insignificante</t>
  </si>
  <si>
    <t>Menor</t>
  </si>
  <si>
    <t>Moderado</t>
  </si>
  <si>
    <t>Mayor</t>
  </si>
  <si>
    <t>Catastrófico</t>
  </si>
  <si>
    <t>Categoría</t>
  </si>
  <si>
    <t>Valoración</t>
  </si>
  <si>
    <t>Muy Baja</t>
  </si>
  <si>
    <t>Baja</t>
  </si>
  <si>
    <t>Media</t>
  </si>
  <si>
    <t>Alta</t>
  </si>
  <si>
    <t>Muy Alta</t>
  </si>
  <si>
    <t>Valoración del Riesgo</t>
  </si>
  <si>
    <t>2, 3 y 4</t>
  </si>
  <si>
    <t>Riesgo Bajo</t>
  </si>
  <si>
    <t>Riesgo Medio</t>
  </si>
  <si>
    <t>6 y 7</t>
  </si>
  <si>
    <t>Riesgo Alto</t>
  </si>
  <si>
    <t>8, 9 y 10</t>
  </si>
  <si>
    <t>Riesgo Extremo</t>
  </si>
  <si>
    <t>Como mitigar el Riesgo</t>
  </si>
  <si>
    <t>Falla en la migración de los datos</t>
  </si>
  <si>
    <t>Elaborar y aprobar Plan de Migración</t>
  </si>
  <si>
    <t>Carlos</t>
  </si>
  <si>
    <t>Plan de Migración Aprobado</t>
  </si>
  <si>
    <t>25/04/20225</t>
  </si>
  <si>
    <t>\\servidor55\evidencias</t>
  </si>
  <si>
    <t>Fallas de hardware crítico</t>
  </si>
  <si>
    <t>Realizar pruebas de carga semestrales</t>
  </si>
  <si>
    <t>Juan</t>
  </si>
  <si>
    <t>Se realizó prueba de carga</t>
  </si>
  <si>
    <t>Resistencia al cambio por parte de los usuarios</t>
  </si>
  <si>
    <t>Talleres de Gestión del Cambio</t>
  </si>
  <si>
    <t>Resistencia la cambio por parte de los usuarios</t>
  </si>
  <si>
    <t>Plan de Capacitación de la nueva herramienta tecnológica</t>
  </si>
  <si>
    <t>Realizar las capacitaciones</t>
  </si>
  <si>
    <t>Rotación de personal clave por ser contratistas</t>
  </si>
  <si>
    <t>Documentación exhaustiva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</si>
</sst>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##0;###0"/>
    <numFmt numFmtId="165" formatCode="dd/mm/yyyy;@"/>
  </numFmts>
  <fonts count="17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indexed="8"/>
      <name val="Arial"/>
      <family val="1"/>
      <charset val="204"/>
    </font>
    <font>
      <b/>
      <sz val="10"/>
      <color indexed="8"/>
      <name val="Arial"/>
      <family val="2"/>
    </font>
    <font>
      <b/>
      <sz val="10"/>
      <color indexed="9"/>
      <name val="Arial"/>
      <family val="1"/>
      <charset val="204"/>
    </font>
    <font>
      <b/>
      <sz val="10"/>
      <color indexed="8"/>
      <name val="Arial"/>
      <family val="1"/>
      <charset val="204"/>
    </font>
    <font>
      <b/>
      <sz val="11"/>
      <color theme="1"/>
      <name val="Arial Narrow"/>
      <family val="2"/>
    </font>
    <font>
      <sz val="10"/>
      <color theme="1"/>
      <name val="Arial Narrow"/>
      <family val="2"/>
    </font>
    <font>
      <b/>
      <sz val="10"/>
      <color theme="1"/>
      <name val="Arial Narrow"/>
      <family val="2"/>
    </font>
    <font>
      <sz val="8"/>
      <color theme="1"/>
      <name val="Tahoma"/>
      <family val="2"/>
    </font>
    <font>
      <sz val="8"/>
      <color theme="1"/>
      <name val="Arial"/>
      <family val="2"/>
    </font>
    <font>
      <sz val="7"/>
      <color theme="1"/>
      <name val="Arial"/>
      <family val="2"/>
    </font>
    <font>
      <b/>
      <sz val="10"/>
      <color theme="0"/>
      <name val="Arial"/>
      <family val="1"/>
      <charset val="204"/>
    </font>
    <font>
      <sz val="9"/>
      <color indexed="8"/>
      <name val="Arial"/>
      <family val="1"/>
      <charset val="204"/>
    </font>
    <font>
      <sz val="10"/>
      <color indexed="8"/>
      <name val="Arial"/>
      <family val="2"/>
    </font>
    <font>
      <u/>
      <sz val="11"/>
      <color theme="10"/>
      <name val="Calibri"/>
      <family val="2"/>
      <scheme val="minor"/>
    </font>
    <font>
      <sz val="10"/>
      <name val="Arial"/>
      <family val="2"/>
    </font>
  </fonts>
  <fills count="11">
    <fill>
      <patternFill patternType="none"/>
    </fill>
    <fill>
      <patternFill patternType="gray125"/>
    </fill>
    <fill>
      <patternFill patternType="solid">
        <fgColor rgb="FF4D4C4C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1F1F1"/>
        <bgColor indexed="64"/>
      </patternFill>
    </fill>
    <fill>
      <patternFill patternType="solid">
        <fgColor theme="8" tint="0.59999389629810485"/>
        <bgColor indexed="64"/>
      </patternFill>
    </fill>
  </fills>
  <borders count="46">
    <border>
      <left/>
      <right/>
      <top/>
      <bottom/>
      <diagonal/>
    </border>
    <border>
      <left style="thin">
        <color rgb="FFA6A6A6"/>
      </left>
      <right style="thin">
        <color rgb="FFA6A6A6"/>
      </right>
      <top style="thin">
        <color rgb="FFA6A6A6"/>
      </top>
      <bottom style="thin">
        <color rgb="FFA6A6A6"/>
      </bottom>
      <diagonal/>
    </border>
    <border>
      <left style="thin">
        <color rgb="FFA6A6A6"/>
      </left>
      <right style="thin">
        <color rgb="FFA6A6A6"/>
      </right>
      <top style="thin">
        <color rgb="FF4D4C4C"/>
      </top>
      <bottom style="thin">
        <color rgb="FF4D4C4C"/>
      </bottom>
      <diagonal/>
    </border>
    <border>
      <left style="thick">
        <color auto="1"/>
      </left>
      <right style="thin">
        <color rgb="FFA6A6A6"/>
      </right>
      <top style="thin">
        <color rgb="FFA6A6A6"/>
      </top>
      <bottom/>
      <diagonal/>
    </border>
    <border>
      <left style="thick">
        <color auto="1"/>
      </left>
      <right style="thin">
        <color rgb="FFA6A6A6"/>
      </right>
      <top/>
      <bottom/>
      <diagonal/>
    </border>
    <border>
      <left style="thick">
        <color auto="1"/>
      </left>
      <right style="thin">
        <color rgb="FFA6A6A6"/>
      </right>
      <top/>
      <bottom style="thick">
        <color auto="1"/>
      </bottom>
      <diagonal/>
    </border>
    <border>
      <left style="thin">
        <color rgb="FFA6A6A6"/>
      </left>
      <right style="thin">
        <color rgb="FFA6A6A6"/>
      </right>
      <top style="thin">
        <color rgb="FFA6A6A6"/>
      </top>
      <bottom style="thick">
        <color auto="1"/>
      </bottom>
      <diagonal/>
    </border>
    <border>
      <left/>
      <right/>
      <top style="thin">
        <color rgb="FF4D4C4C"/>
      </top>
      <bottom style="thin">
        <color rgb="FF4D4C4C"/>
      </bottom>
      <diagonal/>
    </border>
    <border>
      <left/>
      <right style="medium">
        <color auto="1"/>
      </right>
      <top style="thin">
        <color rgb="FF4D4C4C"/>
      </top>
      <bottom style="thin">
        <color rgb="FF4D4C4C"/>
      </bottom>
      <diagonal/>
    </border>
    <border>
      <left style="thin">
        <color rgb="FFA6A6A6"/>
      </left>
      <right style="medium">
        <color auto="1"/>
      </right>
      <top style="thin">
        <color rgb="FF4D4C4C"/>
      </top>
      <bottom style="thin">
        <color rgb="FF4D4C4C"/>
      </bottom>
      <diagonal/>
    </border>
    <border>
      <left style="thin">
        <color rgb="FFA6A6A6"/>
      </left>
      <right style="thin">
        <color rgb="FFA6A6A6"/>
      </right>
      <top style="thin">
        <color rgb="FF4D4C4C"/>
      </top>
      <bottom style="medium">
        <color auto="1"/>
      </bottom>
      <diagonal/>
    </border>
    <border>
      <left style="thin">
        <color rgb="FFA6A6A6"/>
      </left>
      <right style="medium">
        <color auto="1"/>
      </right>
      <top style="thin">
        <color rgb="FF4D4C4C"/>
      </top>
      <bottom style="medium">
        <color auto="1"/>
      </bottom>
      <diagonal/>
    </border>
    <border>
      <left/>
      <right style="medium">
        <color auto="1"/>
      </right>
      <top/>
      <bottom/>
      <diagonal/>
    </border>
    <border>
      <left style="thick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ck">
        <color auto="1"/>
      </right>
      <top style="thin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ck">
        <color auto="1"/>
      </right>
      <top style="thin">
        <color auto="1"/>
      </top>
      <bottom style="thick">
        <color auto="1"/>
      </bottom>
      <diagonal/>
    </border>
    <border>
      <left style="thick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n">
        <color auto="1"/>
      </left>
      <right style="thick">
        <color auto="1"/>
      </right>
      <top style="thick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thin">
        <color auto="1"/>
      </right>
      <top/>
      <bottom style="medium">
        <color indexed="64"/>
      </bottom>
      <diagonal/>
    </border>
    <border>
      <left/>
      <right/>
      <top style="thin">
        <color auto="1"/>
      </top>
      <bottom style="medium">
        <color indexed="64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/>
      <diagonal/>
    </border>
    <border>
      <left style="medium">
        <color auto="1"/>
      </left>
      <right style="thin">
        <color auto="1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rgb="FFA6A6A6"/>
      </right>
      <top style="thin">
        <color rgb="FF4D4C4C"/>
      </top>
      <bottom style="thin">
        <color rgb="FF4D4C4C"/>
      </bottom>
      <diagonal/>
    </border>
    <border>
      <left/>
      <right style="thin">
        <color rgb="FFA6A6A6"/>
      </right>
      <top style="thin">
        <color rgb="FF4D4C4C"/>
      </top>
      <bottom style="medium">
        <color auto="1"/>
      </bottom>
      <diagonal/>
    </border>
    <border>
      <left style="medium">
        <color auto="1"/>
      </left>
      <right/>
      <top style="thin">
        <color rgb="FF4D4C4C"/>
      </top>
      <bottom/>
      <diagonal/>
    </border>
    <border>
      <left/>
      <right/>
      <top style="thin">
        <color rgb="FF4D4C4C"/>
      </top>
      <bottom/>
      <diagonal/>
    </border>
    <border>
      <left style="thin">
        <color rgb="FFA6A6A6"/>
      </left>
      <right/>
      <top style="thin">
        <color rgb="FFA6A6A6"/>
      </top>
      <bottom style="thin">
        <color rgb="FFA6A6A6"/>
      </bottom>
      <diagonal/>
    </border>
    <border>
      <left style="thin">
        <color rgb="FFA6A6A6"/>
      </left>
      <right/>
      <top style="thin">
        <color rgb="FFA6A6A6"/>
      </top>
      <bottom style="thick">
        <color auto="1"/>
      </bottom>
      <diagonal/>
    </border>
    <border>
      <left/>
      <right/>
      <top/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medium">
        <color auto="1"/>
      </left>
      <right/>
      <top style="thin">
        <color auto="1"/>
      </top>
      <bottom/>
      <diagonal/>
    </border>
  </borders>
  <cellStyleXfs count="2">
    <xf numFmtId="0" fontId="0" fillId="0" borderId="0"/>
    <xf numFmtId="0" fontId="15" fillId="0" borderId="0" applyNumberFormat="0" applyFill="0" applyBorder="0" applyAlignment="0" applyProtection="0"/>
  </cellStyleXfs>
  <cellXfs count="95">
    <xf numFmtId="0" fontId="0" fillId="0" borderId="0" xfId="0"/>
    <xf numFmtId="0" fontId="2" fillId="0" borderId="1" xfId="0" applyFont="1" applyBorder="1" applyAlignment="1">
      <alignment horizontal="left" vertical="top" wrapText="1"/>
    </xf>
    <xf numFmtId="0" fontId="2" fillId="0" borderId="6" xfId="0" applyFont="1" applyBorder="1" applyAlignment="1">
      <alignment horizontal="left" vertical="top" wrapText="1"/>
    </xf>
    <xf numFmtId="0" fontId="4" fillId="2" borderId="2" xfId="0" applyFont="1" applyFill="1" applyBorder="1" applyAlignment="1">
      <alignment horizontal="center" vertical="top" wrapText="1"/>
    </xf>
    <xf numFmtId="0" fontId="4" fillId="2" borderId="9" xfId="0" applyFont="1" applyFill="1" applyBorder="1" applyAlignment="1">
      <alignment horizontal="center" vertical="top" wrapText="1"/>
    </xf>
    <xf numFmtId="164" fontId="3" fillId="8" borderId="10" xfId="0" applyNumberFormat="1" applyFont="1" applyFill="1" applyBorder="1" applyAlignment="1">
      <alignment horizontal="center" vertical="center" wrapText="1"/>
    </xf>
    <xf numFmtId="164" fontId="3" fillId="8" borderId="11" xfId="0" applyNumberFormat="1" applyFont="1" applyFill="1" applyBorder="1" applyAlignment="1">
      <alignment horizontal="center" vertical="center" wrapText="1"/>
    </xf>
    <xf numFmtId="0" fontId="4" fillId="2" borderId="18" xfId="0" applyFont="1" applyFill="1" applyBorder="1" applyAlignment="1">
      <alignment horizontal="center" vertical="center" wrapText="1"/>
    </xf>
    <xf numFmtId="0" fontId="4" fillId="2" borderId="19" xfId="0" applyFont="1" applyFill="1" applyBorder="1" applyAlignment="1">
      <alignment horizontal="center" vertical="center" wrapText="1"/>
    </xf>
    <xf numFmtId="0" fontId="5" fillId="5" borderId="13" xfId="0" applyFont="1" applyFill="1" applyBorder="1" applyAlignment="1">
      <alignment horizontal="center" vertical="center" wrapText="1"/>
    </xf>
    <xf numFmtId="164" fontId="3" fillId="6" borderId="13" xfId="0" applyNumberFormat="1" applyFont="1" applyFill="1" applyBorder="1" applyAlignment="1">
      <alignment horizontal="center" vertical="center" wrapText="1"/>
    </xf>
    <xf numFmtId="0" fontId="4" fillId="4" borderId="13" xfId="0" applyFont="1" applyFill="1" applyBorder="1" applyAlignment="1">
      <alignment horizontal="center" vertical="center" wrapText="1"/>
    </xf>
    <xf numFmtId="0" fontId="4" fillId="7" borderId="16" xfId="0" applyFont="1" applyFill="1" applyBorder="1" applyAlignment="1">
      <alignment horizontal="center" vertical="center" wrapText="1"/>
    </xf>
    <xf numFmtId="0" fontId="7" fillId="0" borderId="14" xfId="0" applyFont="1" applyBorder="1" applyAlignment="1">
      <alignment horizontal="justify" vertical="top" wrapText="1"/>
    </xf>
    <xf numFmtId="0" fontId="7" fillId="0" borderId="14" xfId="0" applyFont="1" applyBorder="1" applyAlignment="1">
      <alignment horizontal="center" vertical="center" wrapText="1"/>
    </xf>
    <xf numFmtId="0" fontId="7" fillId="0" borderId="14" xfId="0" applyFont="1" applyBorder="1" applyAlignment="1">
      <alignment vertical="center" wrapText="1"/>
    </xf>
    <xf numFmtId="0" fontId="7" fillId="0" borderId="0" xfId="0" applyFont="1"/>
    <xf numFmtId="0" fontId="7" fillId="0" borderId="0" xfId="0" applyFont="1" applyAlignment="1">
      <alignment vertical="center" textRotation="255" wrapText="1"/>
    </xf>
    <xf numFmtId="0" fontId="7" fillId="0" borderId="21" xfId="0" applyFont="1" applyBorder="1" applyAlignment="1">
      <alignment horizontal="center" vertical="top"/>
    </xf>
    <xf numFmtId="0" fontId="7" fillId="0" borderId="21" xfId="0" applyFont="1" applyBorder="1" applyAlignment="1">
      <alignment horizontal="center" vertical="top" wrapText="1"/>
    </xf>
    <xf numFmtId="0" fontId="7" fillId="0" borderId="22" xfId="0" applyFont="1" applyBorder="1" applyAlignment="1">
      <alignment horizontal="center" vertical="top" wrapText="1"/>
    </xf>
    <xf numFmtId="165" fontId="7" fillId="8" borderId="14" xfId="0" applyNumberFormat="1" applyFont="1" applyFill="1" applyBorder="1" applyAlignment="1">
      <alignment horizontal="center" vertical="center" wrapText="1"/>
    </xf>
    <xf numFmtId="0" fontId="6" fillId="0" borderId="0" xfId="0" applyFont="1" applyAlignment="1">
      <alignment horizontal="center"/>
    </xf>
    <xf numFmtId="0" fontId="6" fillId="8" borderId="0" xfId="0" applyFont="1" applyFill="1" applyAlignment="1">
      <alignment horizontal="center"/>
    </xf>
    <xf numFmtId="0" fontId="6" fillId="8" borderId="20" xfId="0" applyFont="1" applyFill="1" applyBorder="1" applyAlignment="1">
      <alignment horizontal="center"/>
    </xf>
    <xf numFmtId="0" fontId="6" fillId="8" borderId="26" xfId="0" applyFont="1" applyFill="1" applyBorder="1" applyAlignment="1">
      <alignment horizontal="center"/>
    </xf>
    <xf numFmtId="0" fontId="6" fillId="8" borderId="28" xfId="0" applyFont="1" applyFill="1" applyBorder="1" applyAlignment="1">
      <alignment horizontal="center"/>
    </xf>
    <xf numFmtId="0" fontId="7" fillId="8" borderId="0" xfId="0" applyFont="1" applyFill="1"/>
    <xf numFmtId="0" fontId="6" fillId="8" borderId="32" xfId="0" applyFont="1" applyFill="1" applyBorder="1" applyAlignment="1">
      <alignment horizontal="center"/>
    </xf>
    <xf numFmtId="0" fontId="1" fillId="0" borderId="14" xfId="0" applyFont="1" applyBorder="1" applyAlignment="1">
      <alignment vertical="center"/>
    </xf>
    <xf numFmtId="0" fontId="1" fillId="0" borderId="0" xfId="0" applyFont="1" applyAlignment="1">
      <alignment vertical="center"/>
    </xf>
    <xf numFmtId="0" fontId="4" fillId="2" borderId="36" xfId="0" applyFont="1" applyFill="1" applyBorder="1" applyAlignment="1">
      <alignment horizontal="center" vertical="top" wrapText="1"/>
    </xf>
    <xf numFmtId="164" fontId="3" fillId="8" borderId="37" xfId="0" applyNumberFormat="1" applyFont="1" applyFill="1" applyBorder="1" applyAlignment="1">
      <alignment horizontal="center" vertical="center" wrapText="1"/>
    </xf>
    <xf numFmtId="0" fontId="12" fillId="8" borderId="0" xfId="0" applyFont="1" applyFill="1" applyAlignment="1">
      <alignment horizontal="center" vertical="center" wrapText="1"/>
    </xf>
    <xf numFmtId="0" fontId="5" fillId="5" borderId="35" xfId="0" applyFont="1" applyFill="1" applyBorder="1" applyAlignment="1">
      <alignment horizontal="center" vertical="center" wrapText="1"/>
    </xf>
    <xf numFmtId="0" fontId="4" fillId="4" borderId="35" xfId="0" applyFont="1" applyFill="1" applyBorder="1" applyAlignment="1">
      <alignment horizontal="center" vertical="center" wrapText="1"/>
    </xf>
    <xf numFmtId="164" fontId="3" fillId="0" borderId="40" xfId="0" applyNumberFormat="1" applyFont="1" applyBorder="1" applyAlignment="1">
      <alignment horizontal="center" vertical="center" wrapText="1"/>
    </xf>
    <xf numFmtId="164" fontId="3" fillId="0" borderId="41" xfId="0" applyNumberFormat="1" applyFont="1" applyBorder="1" applyAlignment="1">
      <alignment horizontal="center" vertical="center" wrapText="1"/>
    </xf>
    <xf numFmtId="0" fontId="4" fillId="7" borderId="35" xfId="0" applyFont="1" applyFill="1" applyBorder="1" applyAlignment="1">
      <alignment horizontal="center" vertical="center" wrapText="1"/>
    </xf>
    <xf numFmtId="164" fontId="3" fillId="6" borderId="35" xfId="0" applyNumberFormat="1" applyFont="1" applyFill="1" applyBorder="1" applyAlignment="1">
      <alignment horizontal="center" vertical="center" wrapText="1"/>
    </xf>
    <xf numFmtId="0" fontId="13" fillId="9" borderId="17" xfId="0" applyFont="1" applyFill="1" applyBorder="1" applyAlignment="1">
      <alignment horizontal="left" vertical="top" wrapText="1"/>
    </xf>
    <xf numFmtId="0" fontId="13" fillId="9" borderId="15" xfId="0" applyFont="1" applyFill="1" applyBorder="1" applyAlignment="1">
      <alignment horizontal="left" vertical="top" wrapText="1"/>
    </xf>
    <xf numFmtId="49" fontId="0" fillId="0" borderId="14" xfId="0" applyNumberFormat="1" applyBorder="1" applyAlignment="1">
      <alignment wrapText="1"/>
    </xf>
    <xf numFmtId="0" fontId="2" fillId="0" borderId="14" xfId="0" applyFont="1" applyBorder="1" applyAlignment="1">
      <alignment horizontal="left" vertical="top" wrapText="1"/>
    </xf>
    <xf numFmtId="0" fontId="1" fillId="10" borderId="14" xfId="0" applyFont="1" applyFill="1" applyBorder="1" applyAlignment="1">
      <alignment vertical="center"/>
    </xf>
    <xf numFmtId="0" fontId="1" fillId="0" borderId="14" xfId="0" applyFont="1" applyBorder="1" applyAlignment="1">
      <alignment horizontal="center" vertical="center"/>
    </xf>
    <xf numFmtId="49" fontId="0" fillId="0" borderId="14" xfId="0" applyNumberFormat="1" applyBorder="1" applyAlignment="1">
      <alignment horizontal="left" wrapText="1"/>
    </xf>
    <xf numFmtId="0" fontId="1" fillId="0" borderId="14" xfId="0" applyFont="1" applyBorder="1"/>
    <xf numFmtId="0" fontId="3" fillId="0" borderId="14" xfId="0" applyFont="1" applyBorder="1" applyAlignment="1">
      <alignment horizontal="left" vertical="top" wrapText="1"/>
    </xf>
    <xf numFmtId="164" fontId="14" fillId="0" borderId="14" xfId="0" applyNumberFormat="1" applyFont="1" applyBorder="1" applyAlignment="1">
      <alignment horizontal="center" vertical="center" wrapText="1"/>
    </xf>
    <xf numFmtId="165" fontId="15" fillId="8" borderId="14" xfId="1" applyNumberFormat="1" applyFill="1" applyBorder="1" applyAlignment="1">
      <alignment horizontal="center" vertical="center" wrapText="1"/>
    </xf>
    <xf numFmtId="0" fontId="7" fillId="0" borderId="44" xfId="0" applyFont="1" applyBorder="1" applyAlignment="1">
      <alignment horizontal="left" vertical="center" wrapText="1"/>
    </xf>
    <xf numFmtId="0" fontId="7" fillId="0" borderId="44" xfId="0" applyFont="1" applyBorder="1" applyAlignment="1">
      <alignment horizontal="center" vertical="center" wrapText="1"/>
    </xf>
    <xf numFmtId="165" fontId="7" fillId="8" borderId="44" xfId="0" applyNumberFormat="1" applyFont="1" applyFill="1" applyBorder="1" applyAlignment="1">
      <alignment horizontal="center" vertical="center" wrapText="1"/>
    </xf>
    <xf numFmtId="0" fontId="7" fillId="0" borderId="14" xfId="0" applyFont="1" applyBorder="1" applyAlignment="1">
      <alignment vertical="center" textRotation="255" wrapText="1"/>
    </xf>
    <xf numFmtId="0" fontId="7" fillId="0" borderId="14" xfId="0" applyFont="1" applyBorder="1" applyAlignment="1">
      <alignment horizontal="left" vertical="top" wrapText="1"/>
    </xf>
    <xf numFmtId="0" fontId="7" fillId="0" borderId="14" xfId="0" applyFont="1" applyBorder="1"/>
    <xf numFmtId="0" fontId="7" fillId="0" borderId="14" xfId="0" applyFont="1" applyBorder="1" applyAlignment="1">
      <alignment horizontal="center" vertical="center" textRotation="255" wrapText="1"/>
    </xf>
    <xf numFmtId="0" fontId="7" fillId="0" borderId="21" xfId="0" applyFont="1" applyBorder="1" applyAlignment="1">
      <alignment horizontal="justify" vertical="center" wrapText="1"/>
    </xf>
    <xf numFmtId="0" fontId="7" fillId="0" borderId="45" xfId="0" applyFont="1" applyBorder="1" applyAlignment="1">
      <alignment horizontal="center" vertical="top" wrapText="1"/>
    </xf>
    <xf numFmtId="0" fontId="7" fillId="0" borderId="14" xfId="0" applyFont="1" applyBorder="1" applyAlignment="1">
      <alignment horizontal="justify" vertical="center" wrapText="1"/>
    </xf>
    <xf numFmtId="0" fontId="7" fillId="0" borderId="14" xfId="0" applyFont="1" applyBorder="1" applyAlignment="1">
      <alignment horizontal="left" vertical="center" wrapText="1"/>
    </xf>
    <xf numFmtId="0" fontId="16" fillId="8" borderId="36" xfId="0" applyFont="1" applyFill="1" applyBorder="1" applyAlignment="1">
      <alignment horizontal="left" vertical="top" wrapText="1"/>
    </xf>
    <xf numFmtId="0" fontId="16" fillId="8" borderId="2" xfId="0" applyFont="1" applyFill="1" applyBorder="1" applyAlignment="1">
      <alignment horizontal="left" vertical="top" wrapText="1"/>
    </xf>
    <xf numFmtId="0" fontId="16" fillId="8" borderId="9" xfId="0" applyFont="1" applyFill="1" applyBorder="1" applyAlignment="1">
      <alignment horizontal="left" vertical="top" wrapText="1"/>
    </xf>
    <xf numFmtId="0" fontId="7" fillId="0" borderId="21" xfId="0" applyFont="1" applyBorder="1" applyAlignment="1">
      <alignment horizontal="justify" vertical="center"/>
    </xf>
    <xf numFmtId="0" fontId="8" fillId="3" borderId="30" xfId="0" applyFont="1" applyFill="1" applyBorder="1" applyAlignment="1">
      <alignment horizontal="center" vertical="center" textRotation="90" wrapText="1"/>
    </xf>
    <xf numFmtId="0" fontId="8" fillId="3" borderId="31" xfId="0" applyFont="1" applyFill="1" applyBorder="1" applyAlignment="1">
      <alignment horizontal="center" vertical="center" textRotation="90" wrapText="1"/>
    </xf>
    <xf numFmtId="0" fontId="8" fillId="3" borderId="33" xfId="0" applyFont="1" applyFill="1" applyBorder="1" applyAlignment="1">
      <alignment horizontal="center" vertical="center" wrapText="1"/>
    </xf>
    <xf numFmtId="0" fontId="8" fillId="3" borderId="34" xfId="0" applyFont="1" applyFill="1" applyBorder="1" applyAlignment="1">
      <alignment horizontal="center" vertical="center" wrapText="1"/>
    </xf>
    <xf numFmtId="0" fontId="9" fillId="8" borderId="25" xfId="0" applyFont="1" applyFill="1" applyBorder="1" applyAlignment="1">
      <alignment horizontal="center" vertical="center" wrapText="1"/>
    </xf>
    <xf numFmtId="0" fontId="9" fillId="8" borderId="27" xfId="0" applyFont="1" applyFill="1" applyBorder="1" applyAlignment="1">
      <alignment horizontal="center" vertical="center" wrapText="1"/>
    </xf>
    <xf numFmtId="0" fontId="9" fillId="8" borderId="29" xfId="0" applyFont="1" applyFill="1" applyBorder="1" applyAlignment="1">
      <alignment horizontal="center" vertical="center" wrapText="1"/>
    </xf>
    <xf numFmtId="0" fontId="8" fillId="3" borderId="33" xfId="0" applyFont="1" applyFill="1" applyBorder="1" applyAlignment="1">
      <alignment horizontal="center" vertical="center" textRotation="255" wrapText="1"/>
    </xf>
    <xf numFmtId="0" fontId="8" fillId="3" borderId="34" xfId="0" applyFont="1" applyFill="1" applyBorder="1" applyAlignment="1">
      <alignment horizontal="center" vertical="center" textRotation="255" wrapText="1"/>
    </xf>
    <xf numFmtId="0" fontId="8" fillId="0" borderId="14" xfId="0" applyFont="1" applyBorder="1" applyAlignment="1">
      <alignment horizontal="center"/>
    </xf>
    <xf numFmtId="0" fontId="8" fillId="0" borderId="14" xfId="0" applyFont="1" applyBorder="1" applyAlignment="1">
      <alignment horizontal="center" vertical="center"/>
    </xf>
    <xf numFmtId="0" fontId="8" fillId="3" borderId="30" xfId="0" applyFont="1" applyFill="1" applyBorder="1" applyAlignment="1">
      <alignment horizontal="center" vertical="center" wrapText="1"/>
    </xf>
    <xf numFmtId="0" fontId="8" fillId="3" borderId="31" xfId="0" applyFont="1" applyFill="1" applyBorder="1" applyAlignment="1">
      <alignment horizontal="center" vertical="center" wrapText="1"/>
    </xf>
    <xf numFmtId="0" fontId="10" fillId="0" borderId="24" xfId="0" applyFont="1" applyBorder="1" applyAlignment="1">
      <alignment vertical="center" wrapText="1"/>
    </xf>
    <xf numFmtId="0" fontId="10" fillId="0" borderId="43" xfId="0" applyFont="1" applyBorder="1" applyAlignment="1">
      <alignment vertical="center" wrapText="1"/>
    </xf>
    <xf numFmtId="0" fontId="10" fillId="0" borderId="23" xfId="0" applyFont="1" applyBorder="1" applyAlignment="1">
      <alignment vertical="center" wrapText="1"/>
    </xf>
    <xf numFmtId="0" fontId="10" fillId="0" borderId="24" xfId="0" applyFont="1" applyBorder="1" applyAlignment="1">
      <alignment vertical="center"/>
    </xf>
    <xf numFmtId="0" fontId="10" fillId="0" borderId="43" xfId="0" applyFont="1" applyBorder="1" applyAlignment="1">
      <alignment vertical="center"/>
    </xf>
    <xf numFmtId="0" fontId="11" fillId="0" borderId="23" xfId="0" applyFont="1" applyBorder="1" applyAlignment="1">
      <alignment vertical="center"/>
    </xf>
    <xf numFmtId="0" fontId="1" fillId="10" borderId="42" xfId="0" applyFont="1" applyFill="1" applyBorder="1" applyAlignment="1">
      <alignment horizontal="left"/>
    </xf>
    <xf numFmtId="0" fontId="4" fillId="2" borderId="3" xfId="0" applyFont="1" applyFill="1" applyBorder="1" applyAlignment="1">
      <alignment horizontal="center" vertical="center" textRotation="90" wrapText="1"/>
    </xf>
    <xf numFmtId="0" fontId="4" fillId="2" borderId="4" xfId="0" applyFont="1" applyFill="1" applyBorder="1" applyAlignment="1">
      <alignment horizontal="center" vertical="center" textRotation="90" wrapText="1"/>
    </xf>
    <xf numFmtId="0" fontId="4" fillId="2" borderId="5" xfId="0" applyFont="1" applyFill="1" applyBorder="1" applyAlignment="1">
      <alignment horizontal="center" vertical="center" textRotation="90" wrapText="1"/>
    </xf>
    <xf numFmtId="0" fontId="0" fillId="0" borderId="12" xfId="0" applyBorder="1" applyAlignment="1">
      <alignment horizontal="center"/>
    </xf>
    <xf numFmtId="0" fontId="4" fillId="2" borderId="38" xfId="0" applyFont="1" applyFill="1" applyBorder="1" applyAlignment="1">
      <alignment horizontal="center" vertical="top" wrapText="1"/>
    </xf>
    <xf numFmtId="0" fontId="4" fillId="2" borderId="39" xfId="0" applyFont="1" applyFill="1" applyBorder="1" applyAlignment="1">
      <alignment horizontal="center" vertical="top" wrapText="1"/>
    </xf>
    <xf numFmtId="0" fontId="4" fillId="2" borderId="7" xfId="0" applyFont="1" applyFill="1" applyBorder="1" applyAlignment="1">
      <alignment horizontal="center" vertical="top" wrapText="1"/>
    </xf>
    <xf numFmtId="0" fontId="4" fillId="2" borderId="8" xfId="0" applyFont="1" applyFill="1" applyBorder="1" applyAlignment="1">
      <alignment horizontal="center" vertical="top" wrapText="1"/>
    </xf>
    <xf numFmtId="0" fontId="4" fillId="2" borderId="35" xfId="0" applyFont="1" applyFill="1" applyBorder="1" applyAlignment="1">
      <alignment horizontal="center" vertical="center" wrapText="1"/>
    </xf>
  </cellXfs>
  <cellStyles count="2">
    <cellStyle name="Hipervínculo" xfId="1" builtinId="8"/>
    <cellStyle name="Normal" xfId="0" builtinId="0"/>
  </cellStyles>
  <dxfs count="8">
    <dxf>
      <fill>
        <patternFill>
          <bgColor theme="6" tint="0.39994506668294322"/>
        </patternFill>
      </fill>
    </dxf>
    <dxf>
      <fill>
        <patternFill>
          <bgColor theme="9" tint="-0.24994659260841701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-0.24994659260841701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222250</xdr:colOff>
      <xdr:row>0</xdr:row>
      <xdr:rowOff>95250</xdr:rowOff>
    </xdr:from>
    <xdr:to>
      <xdr:col>1</xdr:col>
      <xdr:colOff>1658937</xdr:colOff>
      <xdr:row>2</xdr:row>
      <xdr:rowOff>169218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1D113713-7A44-49A4-9F7A-5C16CC5FA0E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22250" y="95250"/>
          <a:ext cx="1666875" cy="566093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community.secop.gov.co/Public/Tendering/ContractNoticePhases/View?PPI=CO1.PPI.41007016&amp;isFromPublicArea=True&amp;isModal=False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4.bin"/><Relationship Id="rId2" Type="http://schemas.openxmlformats.org/officeDocument/2006/relationships/hyperlink" Target="file:///\\servidor55\evidencias" TargetMode="External"/><Relationship Id="rId1" Type="http://schemas.openxmlformats.org/officeDocument/2006/relationships/hyperlink" Target="file:///\\servidor55\evidencias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8"/>
  <sheetViews>
    <sheetView tabSelected="1" zoomScale="85" zoomScaleNormal="85" workbookViewId="0">
      <selection activeCell="I11" sqref="I11"/>
    </sheetView>
  </sheetViews>
  <sheetFormatPr defaultColWidth="11.42578125" defaultRowHeight="12.75"/>
  <cols>
    <col min="1" max="1" width="3.42578125" style="16" customWidth="1"/>
    <col min="2" max="2" width="28.85546875" style="16" customWidth="1"/>
    <col min="3" max="5" width="3.7109375" style="16" customWidth="1"/>
    <col min="6" max="6" width="9.85546875" style="16" customWidth="1"/>
    <col min="7" max="7" width="18.85546875" style="16" customWidth="1"/>
    <col min="8" max="8" width="13" style="16" customWidth="1"/>
    <col min="9" max="10" width="12.7109375" style="16" customWidth="1"/>
    <col min="11" max="11" width="89.85546875" style="16" customWidth="1"/>
    <col min="12" max="16384" width="11.42578125" style="16"/>
  </cols>
  <sheetData>
    <row r="1" spans="1:11" ht="22.5" customHeight="1">
      <c r="A1" s="24"/>
      <c r="B1" s="70"/>
      <c r="C1" s="75" t="s">
        <v>0</v>
      </c>
      <c r="D1" s="75"/>
      <c r="E1" s="75"/>
      <c r="F1" s="75"/>
      <c r="G1" s="75"/>
      <c r="H1" s="75"/>
      <c r="I1" s="79" t="s">
        <v>1</v>
      </c>
      <c r="J1" s="80"/>
      <c r="K1" s="81"/>
    </row>
    <row r="2" spans="1:11" ht="16.5">
      <c r="A2" s="25"/>
      <c r="B2" s="71"/>
      <c r="C2" s="76" t="s">
        <v>2</v>
      </c>
      <c r="D2" s="76"/>
      <c r="E2" s="76"/>
      <c r="F2" s="76"/>
      <c r="G2" s="76"/>
      <c r="H2" s="76"/>
      <c r="I2" s="79" t="s">
        <v>3</v>
      </c>
      <c r="J2" s="80"/>
      <c r="K2" s="81"/>
    </row>
    <row r="3" spans="1:11" ht="16.5">
      <c r="A3" s="26"/>
      <c r="B3" s="72"/>
      <c r="C3" s="76"/>
      <c r="D3" s="76"/>
      <c r="E3" s="76"/>
      <c r="F3" s="76"/>
      <c r="G3" s="76"/>
      <c r="H3" s="76"/>
      <c r="I3" s="82" t="s">
        <v>4</v>
      </c>
      <c r="J3" s="83"/>
      <c r="K3" s="84"/>
    </row>
    <row r="4" spans="1:11" ht="31.5" customHeight="1" thickBot="1">
      <c r="A4" s="22"/>
      <c r="B4" s="23"/>
      <c r="C4" s="28"/>
      <c r="D4" s="28"/>
      <c r="E4" s="28"/>
      <c r="F4" s="28"/>
      <c r="G4" s="23"/>
      <c r="H4" s="27"/>
      <c r="I4" s="23"/>
      <c r="J4" s="23"/>
      <c r="K4" s="23"/>
    </row>
    <row r="5" spans="1:11" ht="32.25" customHeight="1">
      <c r="A5" s="73" t="s">
        <v>5</v>
      </c>
      <c r="B5" s="68" t="s">
        <v>6</v>
      </c>
      <c r="C5" s="66" t="s">
        <v>7</v>
      </c>
      <c r="D5" s="66" t="s">
        <v>8</v>
      </c>
      <c r="E5" s="66" t="s">
        <v>9</v>
      </c>
      <c r="F5" s="66" t="s">
        <v>10</v>
      </c>
      <c r="G5" s="77" t="s">
        <v>11</v>
      </c>
      <c r="H5" s="77" t="s">
        <v>12</v>
      </c>
      <c r="I5" s="77" t="s">
        <v>13</v>
      </c>
      <c r="J5" s="77" t="s">
        <v>14</v>
      </c>
      <c r="K5" s="77" t="s">
        <v>15</v>
      </c>
    </row>
    <row r="6" spans="1:11" ht="13.5" thickBot="1">
      <c r="A6" s="74"/>
      <c r="B6" s="69"/>
      <c r="C6" s="67"/>
      <c r="D6" s="67"/>
      <c r="E6" s="67"/>
      <c r="F6" s="67"/>
      <c r="G6" s="78"/>
      <c r="H6" s="78"/>
      <c r="I6" s="78"/>
      <c r="J6" s="78"/>
      <c r="K6" s="78"/>
    </row>
    <row r="7" spans="1:11" ht="405">
      <c r="A7" s="19">
        <v>1</v>
      </c>
      <c r="B7" s="65" t="s">
        <v>16</v>
      </c>
      <c r="C7" s="54">
        <v>3</v>
      </c>
      <c r="D7" s="54">
        <v>4</v>
      </c>
      <c r="E7" s="14">
        <f>C7+D7</f>
        <v>7</v>
      </c>
      <c r="F7" s="14" t="str">
        <f>IF(AND(E7&gt;=2,E7&lt;=4),"Bajo",IF(E7=5,"Medio",IF(AND(E7&gt;=6,E7&lt;=7),"Alto",IF(AND(E7&gt;=8,E7&lt;=10),"Extremo",""))))</f>
        <v>Alto</v>
      </c>
      <c r="G7" s="13" t="s">
        <v>17</v>
      </c>
      <c r="H7" s="13" t="s">
        <v>18</v>
      </c>
      <c r="I7" s="21" t="s">
        <v>19</v>
      </c>
      <c r="J7" s="21">
        <v>45505</v>
      </c>
      <c r="K7" s="50" t="s">
        <v>20</v>
      </c>
    </row>
    <row r="8" spans="1:11" ht="90">
      <c r="A8" s="18">
        <v>2</v>
      </c>
      <c r="B8" s="58" t="s">
        <v>21</v>
      </c>
      <c r="C8" s="54">
        <v>4</v>
      </c>
      <c r="D8" s="54">
        <v>5</v>
      </c>
      <c r="E8" s="14">
        <f t="shared" ref="E8:E13" si="0">C8+D8</f>
        <v>9</v>
      </c>
      <c r="F8" s="14" t="str">
        <f t="shared" ref="F8:F13" si="1">IF(AND(E8&gt;=2,E8&lt;=4),"Bajo",IF(E8=5,"Medio",IF(AND(E8&gt;=6,E8&lt;=7),"Alto",IF(AND(E8&gt;=8,E8&lt;=10),"Extremo",""))))</f>
        <v>Extremo</v>
      </c>
      <c r="G8" s="13" t="s">
        <v>22</v>
      </c>
      <c r="H8" s="13" t="s">
        <v>23</v>
      </c>
      <c r="I8" s="21" t="s">
        <v>24</v>
      </c>
      <c r="J8" s="21">
        <v>45658</v>
      </c>
      <c r="K8" s="50" t="s">
        <v>25</v>
      </c>
    </row>
    <row r="9" spans="1:11" ht="195">
      <c r="A9" s="18">
        <v>3</v>
      </c>
      <c r="B9" s="58" t="s">
        <v>26</v>
      </c>
      <c r="C9" s="54">
        <v>3</v>
      </c>
      <c r="D9" s="54">
        <v>3</v>
      </c>
      <c r="E9" s="14">
        <f t="shared" si="0"/>
        <v>6</v>
      </c>
      <c r="F9" s="14" t="str">
        <f t="shared" si="1"/>
        <v>Alto</v>
      </c>
      <c r="G9" s="13" t="s">
        <v>27</v>
      </c>
      <c r="H9" s="13" t="s">
        <v>23</v>
      </c>
      <c r="I9" s="21" t="s">
        <v>28</v>
      </c>
      <c r="J9" s="21">
        <v>45658</v>
      </c>
      <c r="K9" s="50" t="s">
        <v>29</v>
      </c>
    </row>
    <row r="10" spans="1:11" ht="75">
      <c r="A10" s="18">
        <v>4</v>
      </c>
      <c r="B10" s="58" t="s">
        <v>30</v>
      </c>
      <c r="C10" s="54">
        <v>3</v>
      </c>
      <c r="D10" s="54">
        <v>4</v>
      </c>
      <c r="E10" s="14">
        <f t="shared" si="0"/>
        <v>7</v>
      </c>
      <c r="F10" s="14" t="str">
        <f t="shared" si="1"/>
        <v>Alto</v>
      </c>
      <c r="G10" s="13" t="s">
        <v>31</v>
      </c>
      <c r="H10" s="13" t="s">
        <v>32</v>
      </c>
      <c r="I10" s="21" t="s">
        <v>33</v>
      </c>
      <c r="J10" s="21">
        <v>45658</v>
      </c>
      <c r="K10" s="50" t="s">
        <v>34</v>
      </c>
    </row>
    <row r="11" spans="1:11" ht="105">
      <c r="A11" s="18">
        <v>5</v>
      </c>
      <c r="B11" s="58" t="s">
        <v>35</v>
      </c>
      <c r="C11" s="54">
        <v>3</v>
      </c>
      <c r="D11" s="54">
        <v>3</v>
      </c>
      <c r="E11" s="14">
        <f t="shared" si="0"/>
        <v>6</v>
      </c>
      <c r="F11" s="14" t="str">
        <f t="shared" si="1"/>
        <v>Alto</v>
      </c>
      <c r="G11" s="13" t="s">
        <v>36</v>
      </c>
      <c r="H11" s="13" t="s">
        <v>23</v>
      </c>
      <c r="I11" s="21" t="s">
        <v>37</v>
      </c>
      <c r="J11" s="21">
        <v>45658</v>
      </c>
      <c r="K11" s="50" t="s">
        <v>34</v>
      </c>
    </row>
    <row r="12" spans="1:11">
      <c r="A12" s="19">
        <v>6</v>
      </c>
      <c r="B12" s="58"/>
      <c r="C12" s="54"/>
      <c r="D12" s="54"/>
      <c r="E12" s="14">
        <f t="shared" si="0"/>
        <v>0</v>
      </c>
      <c r="F12" s="14" t="str">
        <f t="shared" si="1"/>
        <v/>
      </c>
      <c r="G12" s="15"/>
      <c r="H12" s="14"/>
      <c r="I12" s="21"/>
      <c r="J12" s="21"/>
      <c r="K12" s="21"/>
    </row>
    <row r="13" spans="1:11">
      <c r="A13" s="59">
        <v>7</v>
      </c>
      <c r="B13" s="60"/>
      <c r="C13" s="54"/>
      <c r="D13" s="54"/>
      <c r="E13" s="14">
        <f t="shared" si="0"/>
        <v>0</v>
      </c>
      <c r="F13" s="14" t="str">
        <f t="shared" si="1"/>
        <v/>
      </c>
      <c r="G13" s="61"/>
      <c r="H13" s="14"/>
      <c r="I13" s="21"/>
      <c r="J13" s="21"/>
      <c r="K13" s="21"/>
    </row>
    <row r="14" spans="1:11">
      <c r="C14" s="17"/>
      <c r="D14" s="17"/>
      <c r="E14" s="17"/>
      <c r="F14" s="17"/>
    </row>
    <row r="15" spans="1:11">
      <c r="C15" s="17"/>
      <c r="D15" s="17"/>
      <c r="E15" s="17"/>
      <c r="F15" s="17"/>
    </row>
    <row r="16" spans="1:11">
      <c r="C16" s="17"/>
      <c r="D16" s="17"/>
      <c r="E16" s="17"/>
      <c r="F16" s="17"/>
    </row>
    <row r="17" spans="3:6">
      <c r="C17" s="17"/>
      <c r="D17" s="17"/>
      <c r="E17" s="17"/>
      <c r="F17" s="17"/>
    </row>
    <row r="18" spans="3:6">
      <c r="C18" s="17"/>
      <c r="D18" s="17"/>
      <c r="E18" s="17"/>
      <c r="F18" s="17"/>
    </row>
  </sheetData>
  <mergeCells count="17">
    <mergeCell ref="I1:K1"/>
    <mergeCell ref="I2:K2"/>
    <mergeCell ref="I3:K3"/>
    <mergeCell ref="H5:H6"/>
    <mergeCell ref="I5:I6"/>
    <mergeCell ref="K5:K6"/>
    <mergeCell ref="J5:J6"/>
    <mergeCell ref="F5:F6"/>
    <mergeCell ref="B5:B6"/>
    <mergeCell ref="B1:B3"/>
    <mergeCell ref="A5:A6"/>
    <mergeCell ref="C5:C6"/>
    <mergeCell ref="D5:D6"/>
    <mergeCell ref="E5:E6"/>
    <mergeCell ref="C1:H1"/>
    <mergeCell ref="C2:H3"/>
    <mergeCell ref="G5:G6"/>
  </mergeCells>
  <conditionalFormatting sqref="F7:F13">
    <cfRule type="cellIs" dxfId="7" priority="1" operator="equal">
      <formula>"Extremo"</formula>
    </cfRule>
    <cfRule type="cellIs" dxfId="6" priority="2" operator="equal">
      <formula>"Medio"</formula>
    </cfRule>
    <cfRule type="cellIs" dxfId="5" priority="3" operator="equal">
      <formula>"alto"</formula>
    </cfRule>
    <cfRule type="cellIs" dxfId="4" priority="4" operator="equal">
      <formula>"Bajo"</formula>
    </cfRule>
  </conditionalFormatting>
  <dataValidations count="1">
    <dataValidation type="list" allowBlank="1" showInputMessage="1" showErrorMessage="1" sqref="C7:D13" xr:uid="{00000000-0002-0000-0000-000000000000}">
      <formula1>"1,2,3,4,5"</formula1>
    </dataValidation>
  </dataValidations>
  <hyperlinks>
    <hyperlink ref="K8" r:id="rId1" display="https://community.secop.gov.co/Public/Tendering/ContractNoticePhases/View?PPI=CO1.PPI.41007016&amp;isFromPublicArea=True&amp;isModal=False" xr:uid="{FD11C9D2-071F-42C8-880A-C9FA7548E8CD}"/>
  </hyperlinks>
  <pageMargins left="0.7" right="0.7" top="0.75" bottom="0.75" header="0.3" footer="0.3"/>
  <pageSetup orientation="portrait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3:C24"/>
  <sheetViews>
    <sheetView topLeftCell="A9" workbookViewId="0">
      <selection activeCell="B28" sqref="B28"/>
    </sheetView>
  </sheetViews>
  <sheetFormatPr defaultColWidth="11.42578125" defaultRowHeight="15"/>
  <cols>
    <col min="2" max="2" width="33" customWidth="1"/>
    <col min="3" max="3" width="67.7109375" customWidth="1"/>
  </cols>
  <sheetData>
    <row r="3" spans="2:3">
      <c r="B3" s="85" t="s">
        <v>38</v>
      </c>
      <c r="C3" s="85"/>
    </row>
    <row r="4" spans="2:3" ht="45">
      <c r="B4" s="29" t="s">
        <v>39</v>
      </c>
      <c r="C4" s="42" t="s">
        <v>40</v>
      </c>
    </row>
    <row r="5" spans="2:3">
      <c r="B5" s="29" t="s">
        <v>41</v>
      </c>
      <c r="C5" s="42" t="s">
        <v>42</v>
      </c>
    </row>
    <row r="6" spans="2:3" ht="30">
      <c r="B6" s="29" t="s">
        <v>43</v>
      </c>
      <c r="C6" s="46" t="s">
        <v>44</v>
      </c>
    </row>
    <row r="7" spans="2:3" ht="30">
      <c r="B7" s="29" t="s">
        <v>45</v>
      </c>
      <c r="C7" s="42" t="s">
        <v>46</v>
      </c>
    </row>
    <row r="9" spans="2:3">
      <c r="B9" s="30"/>
    </row>
    <row r="10" spans="2:3">
      <c r="B10" s="44" t="s">
        <v>47</v>
      </c>
    </row>
    <row r="11" spans="2:3">
      <c r="B11" s="45" t="s">
        <v>48</v>
      </c>
      <c r="C11" s="47" t="s">
        <v>49</v>
      </c>
    </row>
    <row r="12" spans="2:3">
      <c r="B12" s="49">
        <v>1</v>
      </c>
      <c r="C12" s="43" t="s">
        <v>50</v>
      </c>
    </row>
    <row r="13" spans="2:3">
      <c r="B13" s="49">
        <v>2</v>
      </c>
      <c r="C13" s="43" t="s">
        <v>51</v>
      </c>
    </row>
    <row r="14" spans="2:3">
      <c r="B14" s="49">
        <v>3</v>
      </c>
      <c r="C14" s="43" t="s">
        <v>52</v>
      </c>
    </row>
    <row r="15" spans="2:3">
      <c r="B15" s="49">
        <v>4</v>
      </c>
      <c r="C15" s="43" t="s">
        <v>53</v>
      </c>
    </row>
    <row r="16" spans="2:3">
      <c r="B16" s="49">
        <v>5</v>
      </c>
      <c r="C16" s="43" t="s">
        <v>54</v>
      </c>
    </row>
    <row r="18" spans="2:3">
      <c r="B18" s="44" t="s">
        <v>55</v>
      </c>
    </row>
    <row r="19" spans="2:3">
      <c r="B19" s="45" t="s">
        <v>48</v>
      </c>
      <c r="C19" s="48" t="s">
        <v>49</v>
      </c>
    </row>
    <row r="20" spans="2:3">
      <c r="B20" s="49">
        <v>1</v>
      </c>
      <c r="C20" s="62" t="s">
        <v>56</v>
      </c>
    </row>
    <row r="21" spans="2:3">
      <c r="B21" s="49">
        <v>2</v>
      </c>
      <c r="C21" s="63" t="s">
        <v>57</v>
      </c>
    </row>
    <row r="22" spans="2:3">
      <c r="B22" s="49">
        <v>3</v>
      </c>
      <c r="C22" s="63" t="s">
        <v>58</v>
      </c>
    </row>
    <row r="23" spans="2:3">
      <c r="B23" s="49">
        <v>4</v>
      </c>
      <c r="C23" s="63" t="s">
        <v>59</v>
      </c>
    </row>
    <row r="24" spans="2:3">
      <c r="B24" s="49">
        <v>5</v>
      </c>
      <c r="C24" s="64" t="s">
        <v>60</v>
      </c>
    </row>
  </sheetData>
  <mergeCells count="1">
    <mergeCell ref="B3:C3"/>
  </mergeCells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H16"/>
  <sheetViews>
    <sheetView workbookViewId="0">
      <selection activeCell="E15" sqref="E15"/>
    </sheetView>
  </sheetViews>
  <sheetFormatPr defaultColWidth="11.42578125" defaultRowHeight="15"/>
  <cols>
    <col min="1" max="1" width="4.140625" customWidth="1"/>
    <col min="2" max="2" width="20.7109375" customWidth="1"/>
    <col min="3" max="3" width="12.42578125" customWidth="1"/>
    <col min="4" max="8" width="15.7109375" customWidth="1"/>
  </cols>
  <sheetData>
    <row r="2" spans="1:8" ht="15.75" thickBot="1">
      <c r="B2" s="90" t="s">
        <v>8</v>
      </c>
      <c r="C2" s="91"/>
      <c r="D2" s="92"/>
      <c r="E2" s="92"/>
      <c r="F2" s="92"/>
      <c r="G2" s="92"/>
      <c r="H2" s="93"/>
    </row>
    <row r="3" spans="1:8" ht="15.75" thickBot="1">
      <c r="A3" s="89"/>
      <c r="B3" s="94" t="s">
        <v>61</v>
      </c>
      <c r="C3" s="94" t="s">
        <v>62</v>
      </c>
      <c r="D3" s="31" t="s">
        <v>56</v>
      </c>
      <c r="E3" s="3" t="s">
        <v>57</v>
      </c>
      <c r="F3" s="3" t="s">
        <v>58</v>
      </c>
      <c r="G3" s="3" t="s">
        <v>59</v>
      </c>
      <c r="H3" s="4" t="s">
        <v>60</v>
      </c>
    </row>
    <row r="4" spans="1:8" ht="27.75" customHeight="1" thickBot="1">
      <c r="A4" s="89"/>
      <c r="B4" s="94"/>
      <c r="C4" s="94"/>
      <c r="D4" s="32">
        <v>1</v>
      </c>
      <c r="E4" s="5">
        <v>2</v>
      </c>
      <c r="F4" s="5">
        <v>3</v>
      </c>
      <c r="G4" s="5">
        <v>4</v>
      </c>
      <c r="H4" s="6">
        <v>5</v>
      </c>
    </row>
    <row r="5" spans="1:8" ht="15.75" thickBot="1">
      <c r="A5" s="86" t="s">
        <v>7</v>
      </c>
      <c r="B5" s="1" t="s">
        <v>63</v>
      </c>
      <c r="C5" s="36">
        <v>1</v>
      </c>
      <c r="D5" s="38">
        <v>2</v>
      </c>
      <c r="E5" s="38">
        <v>3</v>
      </c>
      <c r="F5" s="38">
        <v>4</v>
      </c>
      <c r="G5" s="39">
        <v>5</v>
      </c>
      <c r="H5" s="34">
        <v>6</v>
      </c>
    </row>
    <row r="6" spans="1:8" ht="15.75" thickBot="1">
      <c r="A6" s="87"/>
      <c r="B6" s="1" t="s">
        <v>64</v>
      </c>
      <c r="C6" s="36">
        <v>2</v>
      </c>
      <c r="D6" s="38">
        <v>3</v>
      </c>
      <c r="E6" s="38">
        <v>4</v>
      </c>
      <c r="F6" s="39">
        <v>5</v>
      </c>
      <c r="G6" s="34">
        <v>6</v>
      </c>
      <c r="H6" s="34">
        <v>7</v>
      </c>
    </row>
    <row r="7" spans="1:8" ht="15.75" thickBot="1">
      <c r="A7" s="87"/>
      <c r="B7" s="1" t="s">
        <v>65</v>
      </c>
      <c r="C7" s="36">
        <v>3</v>
      </c>
      <c r="D7" s="38">
        <v>4</v>
      </c>
      <c r="E7" s="39">
        <v>5</v>
      </c>
      <c r="F7" s="34">
        <v>6</v>
      </c>
      <c r="G7" s="34">
        <v>7</v>
      </c>
      <c r="H7" s="35">
        <v>8</v>
      </c>
    </row>
    <row r="8" spans="1:8" ht="15.75" thickBot="1">
      <c r="A8" s="87"/>
      <c r="B8" s="1" t="s">
        <v>66</v>
      </c>
      <c r="C8" s="36">
        <v>4</v>
      </c>
      <c r="D8" s="39">
        <v>5</v>
      </c>
      <c r="E8" s="34">
        <v>6</v>
      </c>
      <c r="F8" s="34">
        <v>7</v>
      </c>
      <c r="G8" s="35">
        <v>8</v>
      </c>
      <c r="H8" s="35">
        <v>9</v>
      </c>
    </row>
    <row r="9" spans="1:8" ht="15.75" thickBot="1">
      <c r="A9" s="88"/>
      <c r="B9" s="2" t="s">
        <v>67</v>
      </c>
      <c r="C9" s="37">
        <v>5</v>
      </c>
      <c r="D9" s="34">
        <v>6</v>
      </c>
      <c r="E9" s="34">
        <v>7</v>
      </c>
      <c r="F9" s="35">
        <v>8</v>
      </c>
      <c r="G9" s="35">
        <v>9</v>
      </c>
      <c r="H9" s="35">
        <v>10</v>
      </c>
    </row>
    <row r="10" spans="1:8" ht="15.75" thickTop="1">
      <c r="F10" s="33"/>
    </row>
    <row r="11" spans="1:8" ht="15.75" thickBot="1">
      <c r="F11" s="33"/>
    </row>
    <row r="12" spans="1:8" ht="21" customHeight="1" thickTop="1">
      <c r="B12" s="7" t="s">
        <v>68</v>
      </c>
      <c r="C12" s="8" t="s">
        <v>61</v>
      </c>
    </row>
    <row r="13" spans="1:8" ht="15.75" thickBot="1">
      <c r="B13" s="12" t="s">
        <v>69</v>
      </c>
      <c r="C13" s="40" t="s">
        <v>70</v>
      </c>
    </row>
    <row r="14" spans="1:8" ht="15.75" thickTop="1">
      <c r="B14" s="10">
        <v>5</v>
      </c>
      <c r="C14" s="41" t="s">
        <v>71</v>
      </c>
    </row>
    <row r="15" spans="1:8">
      <c r="B15" s="9" t="s">
        <v>72</v>
      </c>
      <c r="C15" s="41" t="s">
        <v>73</v>
      </c>
    </row>
    <row r="16" spans="1:8" ht="24">
      <c r="B16" s="11" t="s">
        <v>74</v>
      </c>
      <c r="C16" s="41" t="s">
        <v>75</v>
      </c>
    </row>
  </sheetData>
  <mergeCells count="5">
    <mergeCell ref="A5:A9"/>
    <mergeCell ref="A3:A4"/>
    <mergeCell ref="B2:H2"/>
    <mergeCell ref="B3:B4"/>
    <mergeCell ref="C3:C4"/>
  </mergeCells>
  <pageMargins left="0.7" right="0.7" top="0.75" bottom="0.75" header="0.3" footer="0.3"/>
  <pageSetup scale="70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K14"/>
  <sheetViews>
    <sheetView topLeftCell="A2" zoomScale="120" zoomScaleNormal="120" workbookViewId="0">
      <selection activeCell="H7" sqref="H7"/>
    </sheetView>
  </sheetViews>
  <sheetFormatPr defaultColWidth="11.42578125" defaultRowHeight="12.75"/>
  <cols>
    <col min="1" max="1" width="3.42578125" style="16" customWidth="1"/>
    <col min="2" max="2" width="28.85546875" style="16" customWidth="1"/>
    <col min="3" max="5" width="3.7109375" style="16" customWidth="1"/>
    <col min="6" max="6" width="9.85546875" style="16" customWidth="1"/>
    <col min="7" max="7" width="18.85546875" style="16" customWidth="1"/>
    <col min="8" max="8" width="13" style="16" customWidth="1"/>
    <col min="9" max="10" width="12.7109375" style="16" customWidth="1"/>
    <col min="11" max="11" width="22.42578125" style="16" customWidth="1"/>
    <col min="12" max="16384" width="11.42578125" style="16"/>
  </cols>
  <sheetData>
    <row r="1" spans="1:11" ht="31.5" customHeight="1" thickBot="1">
      <c r="A1" s="22"/>
      <c r="B1" s="23"/>
      <c r="C1" s="28"/>
      <c r="D1" s="28"/>
      <c r="E1" s="28"/>
      <c r="F1" s="28"/>
      <c r="G1" s="23"/>
      <c r="H1" s="27"/>
      <c r="I1" s="23"/>
      <c r="J1" s="23"/>
      <c r="K1" s="23"/>
    </row>
    <row r="2" spans="1:11" ht="32.25" customHeight="1">
      <c r="A2" s="73" t="s">
        <v>5</v>
      </c>
      <c r="B2" s="68" t="s">
        <v>6</v>
      </c>
      <c r="C2" s="66" t="s">
        <v>7</v>
      </c>
      <c r="D2" s="66" t="s">
        <v>8</v>
      </c>
      <c r="E2" s="66" t="s">
        <v>9</v>
      </c>
      <c r="F2" s="66" t="s">
        <v>10</v>
      </c>
      <c r="G2" s="77" t="s">
        <v>76</v>
      </c>
      <c r="H2" s="77" t="s">
        <v>12</v>
      </c>
      <c r="I2" s="77" t="s">
        <v>13</v>
      </c>
      <c r="J2" s="77" t="s">
        <v>14</v>
      </c>
      <c r="K2" s="77" t="s">
        <v>15</v>
      </c>
    </row>
    <row r="3" spans="1:11" ht="26.25" customHeight="1" thickBot="1">
      <c r="A3" s="74"/>
      <c r="B3" s="69"/>
      <c r="C3" s="67"/>
      <c r="D3" s="67"/>
      <c r="E3" s="67"/>
      <c r="F3" s="67"/>
      <c r="G3" s="78"/>
      <c r="H3" s="78"/>
      <c r="I3" s="78"/>
      <c r="J3" s="78"/>
      <c r="K3" s="78"/>
    </row>
    <row r="4" spans="1:11" ht="38.25">
      <c r="A4" s="18">
        <v>1</v>
      </c>
      <c r="B4" s="58" t="s">
        <v>77</v>
      </c>
      <c r="C4" s="54">
        <v>1</v>
      </c>
      <c r="D4" s="54">
        <v>3</v>
      </c>
      <c r="E4" s="14">
        <f>SUM(C4:D4)</f>
        <v>4</v>
      </c>
      <c r="F4" s="14" t="str">
        <f t="shared" ref="F4:F9" si="0">IF(AND(E4&gt;=2,E4&lt;=4),"Bajo",IF(E4=5,"Medio",IF(AND(E4&gt;=6,E4&lt;=7),"Alto",IF(AND(E4&gt;=8,E4&lt;=10),"Extremo",""))))</f>
        <v>Bajo</v>
      </c>
      <c r="G4" s="13" t="s">
        <v>78</v>
      </c>
      <c r="H4" s="13" t="s">
        <v>79</v>
      </c>
      <c r="I4" s="21" t="s">
        <v>80</v>
      </c>
      <c r="J4" s="21" t="s">
        <v>81</v>
      </c>
      <c r="K4" s="50" t="s">
        <v>82</v>
      </c>
    </row>
    <row r="5" spans="1:11" ht="30">
      <c r="A5" s="18">
        <v>2</v>
      </c>
      <c r="B5" s="58" t="s">
        <v>83</v>
      </c>
      <c r="C5" s="54">
        <v>1</v>
      </c>
      <c r="D5" s="54">
        <v>4</v>
      </c>
      <c r="E5" s="14">
        <f>SUM(C5:D5)</f>
        <v>5</v>
      </c>
      <c r="F5" s="14" t="str">
        <f t="shared" si="0"/>
        <v>Medio</v>
      </c>
      <c r="G5" s="13" t="s">
        <v>84</v>
      </c>
      <c r="H5" s="13" t="s">
        <v>85</v>
      </c>
      <c r="I5" s="21" t="s">
        <v>86</v>
      </c>
      <c r="J5" s="21">
        <v>45838</v>
      </c>
      <c r="K5" s="50" t="s">
        <v>82</v>
      </c>
    </row>
    <row r="6" spans="1:11" ht="25.5">
      <c r="A6" s="19">
        <v>3</v>
      </c>
      <c r="B6" s="58" t="s">
        <v>87</v>
      </c>
      <c r="C6" s="54">
        <v>4</v>
      </c>
      <c r="D6" s="54">
        <v>4</v>
      </c>
      <c r="E6" s="14">
        <f t="shared" ref="E6:E9" si="1">SUM(C6:D6)</f>
        <v>8</v>
      </c>
      <c r="F6" s="14" t="str">
        <f t="shared" si="0"/>
        <v>Extremo</v>
      </c>
      <c r="G6" s="15" t="s">
        <v>88</v>
      </c>
      <c r="H6" s="14"/>
      <c r="I6" s="21"/>
      <c r="J6" s="21"/>
      <c r="K6" s="21"/>
    </row>
    <row r="7" spans="1:11" ht="39" thickBot="1">
      <c r="A7" s="20">
        <v>4</v>
      </c>
      <c r="B7" s="58" t="s">
        <v>89</v>
      </c>
      <c r="C7" s="54">
        <v>1</v>
      </c>
      <c r="D7" s="54">
        <v>3</v>
      </c>
      <c r="E7" s="52">
        <f t="shared" si="1"/>
        <v>4</v>
      </c>
      <c r="F7" s="52" t="str">
        <f t="shared" si="0"/>
        <v>Bajo</v>
      </c>
      <c r="G7" s="51" t="s">
        <v>90</v>
      </c>
      <c r="H7" s="52"/>
      <c r="I7" s="53"/>
      <c r="J7" s="53"/>
      <c r="K7" s="53"/>
    </row>
    <row r="8" spans="1:11" ht="25.5">
      <c r="A8" s="19">
        <v>5</v>
      </c>
      <c r="B8" s="58" t="s">
        <v>87</v>
      </c>
      <c r="C8" s="54">
        <v>1</v>
      </c>
      <c r="D8" s="54">
        <v>3</v>
      </c>
      <c r="E8" s="57">
        <f t="shared" si="1"/>
        <v>4</v>
      </c>
      <c r="F8" s="14" t="str">
        <f t="shared" si="0"/>
        <v>Bajo</v>
      </c>
      <c r="G8" s="55" t="s">
        <v>91</v>
      </c>
      <c r="H8" s="13"/>
      <c r="I8" s="13"/>
      <c r="J8" s="13"/>
      <c r="K8" s="13"/>
    </row>
    <row r="9" spans="1:11" ht="26.25" thickBot="1">
      <c r="A9" s="20">
        <v>6</v>
      </c>
      <c r="B9" s="58" t="s">
        <v>92</v>
      </c>
      <c r="C9" s="54">
        <v>1</v>
      </c>
      <c r="D9" s="54">
        <v>3</v>
      </c>
      <c r="E9" s="57">
        <f t="shared" si="1"/>
        <v>4</v>
      </c>
      <c r="F9" s="14" t="str">
        <f t="shared" si="0"/>
        <v>Bajo</v>
      </c>
      <c r="G9" s="13" t="s">
        <v>93</v>
      </c>
      <c r="H9" s="56"/>
      <c r="I9" s="56"/>
      <c r="J9" s="56"/>
      <c r="K9" s="56"/>
    </row>
    <row r="10" spans="1:11">
      <c r="C10" s="17"/>
      <c r="D10" s="17"/>
      <c r="E10" s="17"/>
      <c r="F10" s="17"/>
    </row>
    <row r="11" spans="1:11">
      <c r="C11" s="17"/>
      <c r="D11" s="17"/>
      <c r="E11" s="17"/>
      <c r="F11" s="17"/>
    </row>
    <row r="12" spans="1:11">
      <c r="C12" s="17"/>
      <c r="D12" s="17"/>
      <c r="E12" s="17"/>
      <c r="F12" s="17"/>
    </row>
    <row r="13" spans="1:11">
      <c r="C13" s="17"/>
      <c r="D13" s="17"/>
      <c r="E13" s="17"/>
      <c r="F13" s="17"/>
    </row>
    <row r="14" spans="1:11">
      <c r="C14" s="17"/>
      <c r="D14" s="17"/>
      <c r="E14" s="17"/>
      <c r="F14" s="17"/>
    </row>
  </sheetData>
  <sheetProtection sheet="1" objects="1" scenarios="1"/>
  <mergeCells count="11">
    <mergeCell ref="G2:G3"/>
    <mergeCell ref="H2:H3"/>
    <mergeCell ref="I2:I3"/>
    <mergeCell ref="J2:J3"/>
    <mergeCell ref="K2:K3"/>
    <mergeCell ref="F2:F3"/>
    <mergeCell ref="A2:A3"/>
    <mergeCell ref="B2:B3"/>
    <mergeCell ref="C2:C3"/>
    <mergeCell ref="D2:D3"/>
    <mergeCell ref="E2:E3"/>
  </mergeCells>
  <conditionalFormatting sqref="F4:F9">
    <cfRule type="cellIs" dxfId="3" priority="1" operator="equal">
      <formula>"Extremo"</formula>
    </cfRule>
    <cfRule type="cellIs" dxfId="2" priority="2" operator="equal">
      <formula>"Medio"</formula>
    </cfRule>
    <cfRule type="cellIs" dxfId="1" priority="3" operator="equal">
      <formula>"alto"</formula>
    </cfRule>
    <cfRule type="cellIs" dxfId="0" priority="4" operator="equal">
      <formula>"Bajo"</formula>
    </cfRule>
  </conditionalFormatting>
  <dataValidations count="1">
    <dataValidation type="list" allowBlank="1" showInputMessage="1" showErrorMessage="1" sqref="C4:D7" xr:uid="{00000000-0002-0000-0300-000000000000}">
      <formula1>"1,2,3,4,5"</formula1>
    </dataValidation>
  </dataValidations>
  <hyperlinks>
    <hyperlink ref="K5" r:id="rId1" xr:uid="{00000000-0004-0000-0300-000000000000}"/>
    <hyperlink ref="K4" r:id="rId2" xr:uid="{00000000-0004-0000-0300-000001000000}"/>
  </hyperlinks>
  <pageMargins left="0.7" right="0.7" top="0.75" bottom="0.75" header="0.3" footer="0.3"/>
  <pageSetup orientation="portrait"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Jorge Enrique Almanza Varela</dc:creator>
  <cp:keywords/>
  <dc:description/>
  <cp:lastModifiedBy>Andres Felipe Aguas Castro</cp:lastModifiedBy>
  <cp:revision/>
  <dcterms:created xsi:type="dcterms:W3CDTF">2014-03-10T16:01:59Z</dcterms:created>
  <dcterms:modified xsi:type="dcterms:W3CDTF">2026-03-27T21:13:33Z</dcterms:modified>
  <cp:category/>
  <cp:contentStatus/>
</cp:coreProperties>
</file>